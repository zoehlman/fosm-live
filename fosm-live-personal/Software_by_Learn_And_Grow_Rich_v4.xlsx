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come" sheetId="1" state="visible" r:id="rId3"/>
    <sheet name="Setup &amp; Profiles" sheetId="2" state="visible" r:id="rId4"/>
    <sheet name="Categories" sheetId="3" state="visible" r:id="rId5"/>
    <sheet name="Income Log" sheetId="4" state="visible" r:id="rId6"/>
    <sheet name="Expense Log" sheetId="5" state="visible" r:id="rId7"/>
    <sheet name="Assets Register" sheetId="6" state="visible" r:id="rId8"/>
    <sheet name="Liabilities Register" sheetId="7" state="visible" r:id="rId9"/>
    <sheet name="Vision His" sheetId="8" state="visible" r:id="rId10"/>
    <sheet name="Vision Hers" sheetId="9" state="visible" r:id="rId11"/>
    <sheet name="Vision Joint" sheetId="10" state="visible" r:id="rId12"/>
    <sheet name="Best Year Ever" sheetId="11" state="visible" r:id="rId13"/>
    <sheet name="Income Statement" sheetId="12" state="visible" r:id="rId14"/>
    <sheet name="Cash Flow" sheetId="13" state="visible" r:id="rId15"/>
    <sheet name="Balance Sheet" sheetId="14" state="visible" r:id="rId16"/>
    <sheet name="The Gap" sheetId="15" state="visible" r:id="rId17"/>
    <sheet name="Settings" sheetId="16" state="visible" r:id="rId18"/>
    <sheet name="App_Log" sheetId="17" state="visible" r:id="rId19"/>
    <sheet name="App_Data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<sst xmlns="http://schemas.openxmlformats.org/spreadsheetml/2006/main" count="1200" uniqueCount="895">
  <si>
    <t xml:space="preserve">SOFTWARE BY LEARN AND GROW RICH</t>
  </si>
  <si>
    <t xml:space="preserve">The personal finance database for the path to peace and prosperity.</t>
  </si>
  <si>
    <t xml:space="preserve">WELCOME</t>
  </si>
  <si>
    <t xml:space="preserve">This is the database. You won't usually live here. The app pulls everything from this file and shows you only what matters: your numbers, your dream, your gap, your next move.</t>
  </si>
  <si>
    <t xml:space="preserve">If you're seeing this directly, that's fine too. Every tab below is built so you can read it, edit it, and understand it.</t>
  </si>
  <si>
    <t xml:space="preserve">HOW IT FLOWS</t>
  </si>
  <si>
    <t xml:space="preserve">1.  Setup &amp; Profiles — Tell us who you are. (One-time, 5 minutes.)</t>
  </si>
  <si>
    <t xml:space="preserve">2.  Categories — Pre-loaded. Edit if you want, leave as-is if you don't.</t>
  </si>
  <si>
    <t xml:space="preserve">3.  Income Log + Expense Log — Where money in and money out gets recorded. 30 seconds per entry.</t>
  </si>
  <si>
    <t xml:space="preserve">4.  Assets Register + Liabilities Register — What you own and what owns you.</t>
  </si>
  <si>
    <t xml:space="preserve">5.  Vision (His / Hers / Joint) — Your Dream Life Number. The destination.</t>
  </si>
  <si>
    <t xml:space="preserve">6.  Best Year Ever — The plan to close the gap, one year at a time.</t>
  </si>
  <si>
    <t xml:space="preserve">7.  Income Statement, Cash Flow, Balance Sheet — Auto-built. The Money Making Machine, scaled to a person.</t>
  </si>
  <si>
    <t xml:space="preserve">8.  The Gap — Where you are vs. where you're going. The math doesn't lie.</t>
  </si>
  <si>
    <t xml:space="preserve">COLOR LEGEND</t>
  </si>
  <si>
    <t xml:space="preserve">Blue text = numbers you enter. Change these. They are yours.</t>
  </si>
  <si>
    <t xml:space="preserve">Black text = formulas and totals. The math runs itself. Don't edit unless you know what you're doing.</t>
  </si>
  <si>
    <t xml:space="preserve">Green text = pulled from another tab. Source of truth lives elsewhere.</t>
  </si>
  <si>
    <t xml:space="preserve">PHILOSOPHY</t>
  </si>
  <si>
    <t xml:space="preserve">Every decision you make impacts your income statement, your cash flow, and your balance sheet — whether you know it or not.</t>
  </si>
  <si>
    <t xml:space="preserve">This file makes the impact visible. That's the whole point. Once you can see it, you can choose differently.</t>
  </si>
  <si>
    <t xml:space="preserve">Cheers and have a blessed day.</t>
  </si>
  <si>
    <t xml:space="preserve">Zach</t>
  </si>
  <si>
    <t xml:space="preserve">SETUP &amp; PROFILES</t>
  </si>
  <si>
    <t xml:space="preserve">Tell us who you are. The whole tool reads from these answers.</t>
  </si>
  <si>
    <t xml:space="preserve">SPOUSE 1 (HIS)</t>
  </si>
  <si>
    <t xml:space="preserve">SPOUSE 2 (HERS)</t>
  </si>
  <si>
    <t xml:space="preserve">Name</t>
  </si>
  <si>
    <t xml:space="preserve">Sumary</t>
  </si>
  <si>
    <t xml:space="preserve">Age</t>
  </si>
  <si>
    <t xml:space="preserve">Role / Occupation</t>
  </si>
  <si>
    <t xml:space="preserve">Founder, Learn And Grow Rich</t>
  </si>
  <si>
    <t xml:space="preserve">Co-creator</t>
  </si>
  <si>
    <t xml:space="preserve">Country</t>
  </si>
  <si>
    <t xml:space="preserve">USA</t>
  </si>
  <si>
    <t xml:space="preserve">Currency</t>
  </si>
  <si>
    <t xml:space="preserve">USD</t>
  </si>
  <si>
    <t xml:space="preserve">Tax Filing Status</t>
  </si>
  <si>
    <t xml:space="preserve">Married Filing Jointly</t>
  </si>
  <si>
    <t xml:space="preserve">Start Date</t>
  </si>
  <si>
    <t xml:space="preserve">JOINT HOUSEHOLD</t>
  </si>
  <si>
    <t xml:space="preserve">Household Name</t>
  </si>
  <si>
    <t xml:space="preserve">The Oehlmans</t>
  </si>
  <si>
    <t xml:space="preserve">Primary Residence</t>
  </si>
  <si>
    <t xml:space="preserve">United States</t>
  </si>
  <si>
    <t xml:space="preserve">Children / Dependents</t>
  </si>
  <si>
    <t xml:space="preserve">Currency for Reporting</t>
  </si>
  <si>
    <t xml:space="preserve">The 'Owner' field on every transaction in the Income Log and Expense Log uses these names: His, Hers, Joint. Three lenses on one household.</t>
  </si>
  <si>
    <t xml:space="preserve">CATEGORIES</t>
  </si>
  <si>
    <t xml:space="preserve">The library. Every income, expense, asset, and liability gets one of these tags.</t>
  </si>
  <si>
    <t xml:space="preserve">INCOME CATEGORIES</t>
  </si>
  <si>
    <t xml:space="preserve">Category Name</t>
  </si>
  <si>
    <t xml:space="preserve">Description</t>
  </si>
  <si>
    <t xml:space="preserve">Default Owner</t>
  </si>
  <si>
    <t xml:space="preserve">Active Income</t>
  </si>
  <si>
    <t xml:space="preserve">Wages, salary, contract pay, 1099 income — money you trade time for.</t>
  </si>
  <si>
    <t xml:space="preserve">Joint</t>
  </si>
  <si>
    <t xml:space="preserve">Business Income</t>
  </si>
  <si>
    <t xml:space="preserve">Profit distributions, owner draws, dividends from businesses you own.</t>
  </si>
  <si>
    <t xml:space="preserve">Passive Income</t>
  </si>
  <si>
    <t xml:space="preserve">Rental income, dividends, interest, royalties — money that arrives without your time.</t>
  </si>
  <si>
    <t xml:space="preserve">Side Income</t>
  </si>
  <si>
    <t xml:space="preserve">Side hustles, occasional gigs, project work outside the main job.</t>
  </si>
  <si>
    <t xml:space="preserve">Investment Gains</t>
  </si>
  <si>
    <t xml:space="preserve">Realized gains from selling stocks, crypto, or other investments.</t>
  </si>
  <si>
    <t xml:space="preserve">Gifts &amp; Windfalls</t>
  </si>
  <si>
    <t xml:space="preserve">Inheritances, gifts, prizes, tax refunds, one-time money in.</t>
  </si>
  <si>
    <t xml:space="preserve">Other Income</t>
  </si>
  <si>
    <t xml:space="preserve">Anything that doesn't fit above. Categorize fully later.</t>
  </si>
  <si>
    <t xml:space="preserve">EXPENSE CATEGORIES</t>
  </si>
  <si>
    <t xml:space="preserve">Housing</t>
  </si>
  <si>
    <t xml:space="preserve">Rent, mortgage, property tax, HOA, repairs, utilities tied to home.</t>
  </si>
  <si>
    <t xml:space="preserve">Food</t>
  </si>
  <si>
    <t xml:space="preserve">Groceries, restaurants, coffee, food delivery.</t>
  </si>
  <si>
    <t xml:space="preserve">Transport</t>
  </si>
  <si>
    <t xml:space="preserve">Car payment, gas, insurance, ride-share, public transit, flights for getting around.</t>
  </si>
  <si>
    <t xml:space="preserve">Health</t>
  </si>
  <si>
    <t xml:space="preserve">Insurance, doctor visits, medication, gym, supplements, therapy.</t>
  </si>
  <si>
    <t xml:space="preserve">Lifestyle</t>
  </si>
  <si>
    <t xml:space="preserve">Entertainment, hobbies, dining out experiences, recreation.</t>
  </si>
  <si>
    <t xml:space="preserve">Travel &amp; Adventure</t>
  </si>
  <si>
    <t xml:space="preserve">Vacations, trips, the Adventure List items as they actually happen.</t>
  </si>
  <si>
    <t xml:space="preserve">Family &amp; Kids</t>
  </si>
  <si>
    <t xml:space="preserve">Childcare, school, kids' activities, family-specific expenses.</t>
  </si>
  <si>
    <t xml:space="preserve">Education</t>
  </si>
  <si>
    <t xml:space="preserve">Books, courses, coaching, conferences, ongoing learning.</t>
  </si>
  <si>
    <t xml:space="preserve">Personal</t>
  </si>
  <si>
    <t xml:space="preserve">Clothing, grooming, personal care.</t>
  </si>
  <si>
    <t xml:space="preserve">Subscriptions</t>
  </si>
  <si>
    <t xml:space="preserve">Streaming, software, memberships, recurring small charges.</t>
  </si>
  <si>
    <t xml:space="preserve">Giving</t>
  </si>
  <si>
    <t xml:space="preserve">Tithing, charitable donations, foundation contributions, gifts to others.</t>
  </si>
  <si>
    <t xml:space="preserve">Taxes</t>
  </si>
  <si>
    <t xml:space="preserve">Income tax payments, estimated tax payments, tax preparation fees.</t>
  </si>
  <si>
    <t xml:space="preserve">Debt Service</t>
  </si>
  <si>
    <t xml:space="preserve">Interest payments and required principal payments on loans.</t>
  </si>
  <si>
    <t xml:space="preserve">Insurance</t>
  </si>
  <si>
    <t xml:space="preserve">Life, disability, umbrella — protective insurance not tied to specific category above.</t>
  </si>
  <si>
    <t xml:space="preserve">Other Expenses</t>
  </si>
  <si>
    <t xml:space="preserve">ASSET CATEGORIES</t>
  </si>
  <si>
    <t xml:space="preserve">Cash &amp; Equivalents</t>
  </si>
  <si>
    <t xml:space="preserve">Checking, savings, money market, short-term CDs.</t>
  </si>
  <si>
    <t xml:space="preserve">Taxable Investments</t>
  </si>
  <si>
    <t xml:space="preserve">Brokerage accounts, individual stocks, ETFs, mutual funds outside retirement.</t>
  </si>
  <si>
    <t xml:space="preserve">Retirement Accounts</t>
  </si>
  <si>
    <t xml:space="preserve">401(k), IRA, Roth IRA, SEP, pension. Tax-advantaged.</t>
  </si>
  <si>
    <t xml:space="preserve">Real Estate</t>
  </si>
  <si>
    <t xml:space="preserve">Primary residence, rental properties, land. Use current market value.</t>
  </si>
  <si>
    <t xml:space="preserve">Vehicles</t>
  </si>
  <si>
    <t xml:space="preserve">Cars, motorcycles, boats. Use current market value, not purchase price.</t>
  </si>
  <si>
    <t xml:space="preserve">Businesses Owned</t>
  </si>
  <si>
    <t xml:space="preserve">Equity in businesses you own. Use estimated value.</t>
  </si>
  <si>
    <t xml:space="preserve">Other Assets</t>
  </si>
  <si>
    <t xml:space="preserve">Collectibles, jewelry, anything of meaningful value not above.</t>
  </si>
  <si>
    <t xml:space="preserve">LIABILITY CATEGORIES</t>
  </si>
  <si>
    <t xml:space="preserve">Credit Cards</t>
  </si>
  <si>
    <t xml:space="preserve">Revolving credit card balances. Track each card separately.</t>
  </si>
  <si>
    <t xml:space="preserve">Personal Loans</t>
  </si>
  <si>
    <t xml:space="preserve">Unsecured personal debt, lines of credit.</t>
  </si>
  <si>
    <t xml:space="preserve">Auto Loans</t>
  </si>
  <si>
    <t xml:space="preserve">Loans secured by a vehicle.</t>
  </si>
  <si>
    <t xml:space="preserve">Student Loans</t>
  </si>
  <si>
    <t xml:space="preserve">Education debt.</t>
  </si>
  <si>
    <t xml:space="preserve">Mortgages</t>
  </si>
  <si>
    <t xml:space="preserve">Loans secured by real estate. Track each property separately.</t>
  </si>
  <si>
    <t xml:space="preserve">Business Debt</t>
  </si>
  <si>
    <t xml:space="preserve">Personally guaranteed business loans, business credit cards.</t>
  </si>
  <si>
    <t xml:space="preserve">Other Liabilities</t>
  </si>
  <si>
    <t xml:space="preserve">Tax debt, family loans, anything else owed.</t>
  </si>
  <si>
    <t xml:space="preserve">INCOME LOG</t>
  </si>
  <si>
    <t xml:space="preserve">Every dollar in. 30 seconds per entry.</t>
  </si>
  <si>
    <t xml:space="preserve">Date</t>
  </si>
  <si>
    <t xml:space="preserve">Amount</t>
  </si>
  <si>
    <t xml:space="preserve">Owner</t>
  </si>
  <si>
    <t xml:space="preserve">Source / Vendor</t>
  </si>
  <si>
    <t xml:space="preserve">Category</t>
  </si>
  <si>
    <t xml:space="preserve">Year-Month</t>
  </si>
  <si>
    <t xml:space="preserve">Notes</t>
  </si>
  <si>
    <t xml:space="preserve">His</t>
  </si>
  <si>
    <t xml:space="preserve">Learn And Grow Rich Inc.</t>
  </si>
  <si>
    <t xml:space="preserve">Bi-weekly paycheck</t>
  </si>
  <si>
    <t xml:space="preserve">Hers</t>
  </si>
  <si>
    <t xml:space="preserve">Sumary Consulting</t>
  </si>
  <si>
    <t xml:space="preserve">Monthly contract</t>
  </si>
  <si>
    <t xml:space="preserve">Rental — Apt 2B</t>
  </si>
  <si>
    <t xml:space="preserve">Tenant rent</t>
  </si>
  <si>
    <t xml:space="preserve">Coaching client</t>
  </si>
  <si>
    <t xml:space="preserve">1:1 session block</t>
  </si>
  <si>
    <t xml:space="preserve">EXPENSE LOG</t>
  </si>
  <si>
    <t xml:space="preserve">Every dollar out. Same shape as income.</t>
  </si>
  <si>
    <t xml:space="preserve">Vendor</t>
  </si>
  <si>
    <t xml:space="preserve">Payment Method</t>
  </si>
  <si>
    <t xml:space="preserve">Mortgage Co.</t>
  </si>
  <si>
    <t xml:space="preserve">Auto-Pay</t>
  </si>
  <si>
    <t xml:space="preserve">January mortgage</t>
  </si>
  <si>
    <t xml:space="preserve">Whole Foods</t>
  </si>
  <si>
    <t xml:space="preserve">Credit Card</t>
  </si>
  <si>
    <t xml:space="preserve">Weekly groceries</t>
  </si>
  <si>
    <t xml:space="preserve">Shell</t>
  </si>
  <si>
    <t xml:space="preserve">Gas</t>
  </si>
  <si>
    <t xml:space="preserve">Blue Cross</t>
  </si>
  <si>
    <t xml:space="preserve">Family insurance</t>
  </si>
  <si>
    <t xml:space="preserve">Trader Joe's</t>
  </si>
  <si>
    <t xml:space="preserve">Mid-week run</t>
  </si>
  <si>
    <t xml:space="preserve">Local restaurant</t>
  </si>
  <si>
    <t xml:space="preserve">Date night</t>
  </si>
  <si>
    <t xml:space="preserve">Coaching program</t>
  </si>
  <si>
    <t xml:space="preserve">Monthly subscription</t>
  </si>
  <si>
    <t xml:space="preserve">Foundation by LGR</t>
  </si>
  <si>
    <t xml:space="preserve">Bank Transfer</t>
  </si>
  <si>
    <t xml:space="preserve">Monthly tithe</t>
  </si>
  <si>
    <t xml:space="preserve">Yoga studio</t>
  </si>
  <si>
    <t xml:space="preserve">Class pack</t>
  </si>
  <si>
    <t xml:space="preserve">Streaming service</t>
  </si>
  <si>
    <t xml:space="preserve">Movies</t>
  </si>
  <si>
    <t xml:space="preserve">Auto repair shop</t>
  </si>
  <si>
    <t xml:space="preserve">Oil change + brakes</t>
  </si>
  <si>
    <t xml:space="preserve">Online course</t>
  </si>
  <si>
    <t xml:space="preserve">Personal development</t>
  </si>
  <si>
    <t xml:space="preserve">Gas + electric</t>
  </si>
  <si>
    <t xml:space="preserve">Utilities</t>
  </si>
  <si>
    <t xml:space="preserve">ASSETS REGISTER</t>
  </si>
  <si>
    <t xml:space="preserve">What you own. Update current value monthly. The Balance Sheet pulls from here.</t>
  </si>
  <si>
    <t xml:space="preserve">Asset Name</t>
  </si>
  <si>
    <t xml:space="preserve">Acquired</t>
  </si>
  <si>
    <t xml:space="preserve">Acquired Cost</t>
  </si>
  <si>
    <t xml:space="preserve">Current Value</t>
  </si>
  <si>
    <t xml:space="preserve">As-Of Date</t>
  </si>
  <si>
    <t xml:space="preserve">Chase Checking</t>
  </si>
  <si>
    <t xml:space="preserve">Primary checking</t>
  </si>
  <si>
    <t xml:space="preserve">Ally Savings</t>
  </si>
  <si>
    <t xml:space="preserve">Emergency fund</t>
  </si>
  <si>
    <t xml:space="preserve">Fidelity Brokerage</t>
  </si>
  <si>
    <t xml:space="preserve">Index funds</t>
  </si>
  <si>
    <t xml:space="preserve">Vanguard Roth IRA</t>
  </si>
  <si>
    <t xml:space="preserve">Annual max contributions</t>
  </si>
  <si>
    <t xml:space="preserve">Schwab 401k</t>
  </si>
  <si>
    <t xml:space="preserve">Employer match included</t>
  </si>
  <si>
    <t xml:space="preserve">Zillow estimate</t>
  </si>
  <si>
    <t xml:space="preserve">Honda Pilot</t>
  </si>
  <si>
    <t xml:space="preserve">KBB private party</t>
  </si>
  <si>
    <t xml:space="preserve">Conservative valuation</t>
  </si>
  <si>
    <t xml:space="preserve">LIABILITIES REGISTER</t>
  </si>
  <si>
    <t xml:space="preserve">What owns you. Track every loan and revolving balance.</t>
  </si>
  <si>
    <t xml:space="preserve">Liability Name</t>
  </si>
  <si>
    <t xml:space="preserve">Original Balance</t>
  </si>
  <si>
    <t xml:space="preserve">Current Balance</t>
  </si>
  <si>
    <t xml:space="preserve">Interest Rate</t>
  </si>
  <si>
    <t xml:space="preserve">Min Payment</t>
  </si>
  <si>
    <t xml:space="preserve">Primary Mortgage</t>
  </si>
  <si>
    <t xml:space="preserve">30-yr fixed</t>
  </si>
  <si>
    <t xml:space="preserve">Chase Credit Card</t>
  </si>
  <si>
    <t xml:space="preserve">Paid in full monthly target</t>
  </si>
  <si>
    <t xml:space="preserve">Honda Pilot Loan</t>
  </si>
  <si>
    <t xml:space="preserve">5-yr term</t>
  </si>
  <si>
    <t xml:space="preserve">VISION TO REALITY — HIS</t>
  </si>
  <si>
    <t xml:space="preserve">Dream Day + Adventure List + Monthly Budget = Dream Life Number. The destination.</t>
  </si>
  <si>
    <t xml:space="preserve">DREAM DAY (the cost of living one perfect day)</t>
  </si>
  <si>
    <t xml:space="preserve">Item</t>
  </si>
  <si>
    <t xml:space="preserve">Cost Per Day</t>
  </si>
  <si>
    <t xml:space="preserve">Morning routine + breakfast</t>
  </si>
  <si>
    <t xml:space="preserve">Coffee, journaling, healthy meal</t>
  </si>
  <si>
    <t xml:space="preserve">Workout / movement</t>
  </si>
  <si>
    <t xml:space="preserve">Gym, yoga, run</t>
  </si>
  <si>
    <t xml:space="preserve">Work — meaningful, on purpose</t>
  </si>
  <si>
    <t xml:space="preserve">Already covered by income</t>
  </si>
  <si>
    <t xml:space="preserve">Lunch</t>
  </si>
  <si>
    <t xml:space="preserve">Out or made fresh</t>
  </si>
  <si>
    <t xml:space="preserve">Family time / connection</t>
  </si>
  <si>
    <t xml:space="preserve">Activities with family</t>
  </si>
  <si>
    <t xml:space="preserve">Evening — date, reading, rest</t>
  </si>
  <si>
    <t xml:space="preserve">Dinner, downtime</t>
  </si>
  <si>
    <t xml:space="preserve">Dream Day Total</t>
  </si>
  <si>
    <t xml:space="preserve">× 30 days =</t>
  </si>
  <si>
    <t xml:space="preserve">ADVENTURE LIST (the experiences you want, with cost and frequency)</t>
  </si>
  <si>
    <t xml:space="preserve">Adventure</t>
  </si>
  <si>
    <t xml:space="preserve">Cost Per Trip</t>
  </si>
  <si>
    <t xml:space="preserve">Per Year</t>
  </si>
  <si>
    <t xml:space="preserve">Annual Total</t>
  </si>
  <si>
    <t xml:space="preserve">International trip</t>
  </si>
  <si>
    <t xml:space="preserve">One major trip per year</t>
  </si>
  <si>
    <t xml:space="preserve">Domestic weekend getaway</t>
  </si>
  <si>
    <t xml:space="preserve">Quarterly recharge</t>
  </si>
  <si>
    <t xml:space="preserve">Motorcycle adventure</t>
  </si>
  <si>
    <t xml:space="preserve">Solo / with friends</t>
  </si>
  <si>
    <t xml:space="preserve">Family vacation</t>
  </si>
  <si>
    <t xml:space="preserve">Annual family trip</t>
  </si>
  <si>
    <t xml:space="preserve">Conference / mastermind</t>
  </si>
  <si>
    <t xml:space="preserve">Personal growth</t>
  </si>
  <si>
    <t xml:space="preserve">Adventure List Annual Total</t>
  </si>
  <si>
    <t xml:space="preserve">÷ 12 months =</t>
  </si>
  <si>
    <t xml:space="preserve">MONTHLY BUDGET (the regular life — what it costs to live the way you want, every month)</t>
  </si>
  <si>
    <t xml:space="preserve">Monthly Cost</t>
  </si>
  <si>
    <t xml:space="preserve">Housing (mortgage + utilities + maintenance)</t>
  </si>
  <si>
    <t xml:space="preserve">Including HOA, repairs</t>
  </si>
  <si>
    <t xml:space="preserve">Groceries + dining</t>
  </si>
  <si>
    <t xml:space="preserve">Gas, insurance, maintenance</t>
  </si>
  <si>
    <t xml:space="preserve">Health &amp; wellness</t>
  </si>
  <si>
    <t xml:space="preserve">Insurance, gym, therapy</t>
  </si>
  <si>
    <t xml:space="preserve">Education / coaching</t>
  </si>
  <si>
    <t xml:space="preserve">Continuous learning</t>
  </si>
  <si>
    <t xml:space="preserve">Giving (10%+)</t>
  </si>
  <si>
    <t xml:space="preserve">Tithe + foundation</t>
  </si>
  <si>
    <t xml:space="preserve">Personal / lifestyle</t>
  </si>
  <si>
    <t xml:space="preserve">Clothing, hobbies</t>
  </si>
  <si>
    <t xml:space="preserve">Savings / investments</t>
  </si>
  <si>
    <t xml:space="preserve">Pay yourself first</t>
  </si>
  <si>
    <t xml:space="preserve">Monthly Budget Total</t>
  </si>
  <si>
    <t xml:space="preserve">DREAM LIFE NUMBER</t>
  </si>
  <si>
    <t xml:space="preserve">Dream Day × 30</t>
  </si>
  <si>
    <t xml:space="preserve">Adventure List ÷ 12</t>
  </si>
  <si>
    <t xml:space="preserve">Monthly Budget</t>
  </si>
  <si>
    <t xml:space="preserve">DREAM LIFE NUMBER — Monthly</t>
  </si>
  <si>
    <t xml:space="preserve">DREAM LIFE NUMBER — Annual</t>
  </si>
  <si>
    <t xml:space="preserve">VISION TO REALITY — HERS</t>
  </si>
  <si>
    <t xml:space="preserve">Morning ritual + breakfast</t>
  </si>
  <si>
    <t xml:space="preserve">Quiet time, journaling, breakfast</t>
  </si>
  <si>
    <t xml:space="preserve">Movement / yoga / walk</t>
  </si>
  <si>
    <t xml:space="preserve">Gentle daily practice</t>
  </si>
  <si>
    <t xml:space="preserve">Creative / fulfilling work</t>
  </si>
  <si>
    <t xml:space="preserve">Healthy meal</t>
  </si>
  <si>
    <t xml:space="preserve">Friends, family, connection</t>
  </si>
  <si>
    <t xml:space="preserve">Coffee, lunch, calls</t>
  </si>
  <si>
    <t xml:space="preserve">Evening — beauty, presence, rest</t>
  </si>
  <si>
    <t xml:space="preserve">Dinner out, self-care</t>
  </si>
  <si>
    <t xml:space="preserve">International retreat / trip</t>
  </si>
  <si>
    <t xml:space="preserve">Solo or girls' trip</t>
  </si>
  <si>
    <t xml:space="preserve">Spa weekend / wellness retreat</t>
  </si>
  <si>
    <t xml:space="preserve">Quarterly reset</t>
  </si>
  <si>
    <t xml:space="preserve">Workshop / personal growth</t>
  </si>
  <si>
    <t xml:space="preserve">Learning + community</t>
  </si>
  <si>
    <t xml:space="preserve">Creative project / class</t>
  </si>
  <si>
    <t xml:space="preserve">Photography, writing, art</t>
  </si>
  <si>
    <t xml:space="preserve">Housing share</t>
  </si>
  <si>
    <t xml:space="preserve">Joint covers most</t>
  </si>
  <si>
    <t xml:space="preserve">Personal food / dining</t>
  </si>
  <si>
    <t xml:space="preserve">Beyond joint groceries</t>
  </si>
  <si>
    <t xml:space="preserve">Wellness (yoga, therapy, supplements)</t>
  </si>
  <si>
    <t xml:space="preserve">Self-care non-negotiable</t>
  </si>
  <si>
    <t xml:space="preserve">Beauty / personal care</t>
  </si>
  <si>
    <t xml:space="preserve">Ongoing investment</t>
  </si>
  <si>
    <t xml:space="preserve">Education / personal growth</t>
  </si>
  <si>
    <t xml:space="preserve">Books, courses, coaching</t>
  </si>
  <si>
    <t xml:space="preserve">Personal causes</t>
  </si>
  <si>
    <t xml:space="preserve">Lifestyle / hobbies</t>
  </si>
  <si>
    <t xml:space="preserve">Photography, creative</t>
  </si>
  <si>
    <t xml:space="preserve">Personal savings</t>
  </si>
  <si>
    <t xml:space="preserve">Her own runway</t>
  </si>
  <si>
    <t xml:space="preserve">VISION TO REALITY — JOINT</t>
  </si>
  <si>
    <t xml:space="preserve">Shared morning (coffee, walk together)</t>
  </si>
  <si>
    <t xml:space="preserve">The good start</t>
  </si>
  <si>
    <t xml:space="preserve">Family meals</t>
  </si>
  <si>
    <t xml:space="preserve">Real food, real time</t>
  </si>
  <si>
    <t xml:space="preserve">Together evenings</t>
  </si>
  <si>
    <t xml:space="preserve">Date night cadence</t>
  </si>
  <si>
    <t xml:space="preserve">Weekly date out</t>
  </si>
  <si>
    <t xml:space="preserve">Allocated daily</t>
  </si>
  <si>
    <t xml:space="preserve">Family annual vacation</t>
  </si>
  <si>
    <t xml:space="preserve">Big one together</t>
  </si>
  <si>
    <t xml:space="preserve">Couples retreat / trip</t>
  </si>
  <si>
    <t xml:space="preserve">Just the two of you</t>
  </si>
  <si>
    <t xml:space="preserve">Anniversary trip</t>
  </si>
  <si>
    <t xml:space="preserve">Tradition</t>
  </si>
  <si>
    <t xml:space="preserve">Holidays with extended family</t>
  </si>
  <si>
    <t xml:space="preserve">Annual gathering</t>
  </si>
  <si>
    <t xml:space="preserve">Housing (combined)</t>
  </si>
  <si>
    <t xml:space="preserve">Mortgage + utilities + repairs</t>
  </si>
  <si>
    <t xml:space="preserve">Family food</t>
  </si>
  <si>
    <t xml:space="preserve">Joint groceries + family dining</t>
  </si>
  <si>
    <t xml:space="preserve">Joint transportation</t>
  </si>
  <si>
    <t xml:space="preserve">Family vehicle</t>
  </si>
  <si>
    <t xml:space="preserve">Family health insurance</t>
  </si>
  <si>
    <t xml:space="preserve">Combined plan</t>
  </si>
  <si>
    <t xml:space="preserve">Family / kids</t>
  </si>
  <si>
    <t xml:space="preserve">Update when kids arrive</t>
  </si>
  <si>
    <t xml:space="preserve">Joint giving</t>
  </si>
  <si>
    <t xml:space="preserve">Foundation contribution</t>
  </si>
  <si>
    <t xml:space="preserve">Joint savings</t>
  </si>
  <si>
    <t xml:space="preserve">Wealth building together</t>
  </si>
  <si>
    <t xml:space="preserve">BEST YEAR EVER</t>
  </si>
  <si>
    <t xml:space="preserve">10 years out, 3 years out, 1 year out, this quarter, this month, this week. The cadence that compounds.</t>
  </si>
  <si>
    <t xml:space="preserve">10-YEAR VISION</t>
  </si>
  <si>
    <t xml:space="preserve">Where will the family be in 10 years?</t>
  </si>
  <si>
    <t xml:space="preserve">By 2036, we are living the path. Our kids understand money, light, and impact. Net worth past $X. Foundation funding $X/year. We are who we said we'd be.</t>
  </si>
  <si>
    <t xml:space="preserve">10-Year Net Worth Target</t>
  </si>
  <si>
    <t xml:space="preserve">10-Year Annual Income Target</t>
  </si>
  <si>
    <t xml:space="preserve">3-YEAR PICTURE</t>
  </si>
  <si>
    <t xml:space="preserve">What does year 3 look like?</t>
  </si>
  <si>
    <t xml:space="preserve">By 2029, software and training program shipped to thousands. Sumary running the personal finance arm. Joint Dream Life Number fully funded.</t>
  </si>
  <si>
    <t xml:space="preserve">3-Year Net Worth Target</t>
  </si>
  <si>
    <t xml:space="preserve">3-Year Annual Income Target</t>
  </si>
  <si>
    <t xml:space="preserve">1-YEAR GOALS (the year ahead, broken into 5 buckets)</t>
  </si>
  <si>
    <t xml:space="preserve">Finance</t>
  </si>
  <si>
    <t xml:space="preserve">Hit $X monthly after-tax income. Fund the Dream Life Number. Pay down credit cards to zero. Increase investments by $X.</t>
  </si>
  <si>
    <t xml:space="preserve">Take 2 international trips, 4 domestic. Daily Dream Day rhythm. Live the way we said we wanted to live.</t>
  </si>
  <si>
    <t xml:space="preserve">Relationship</t>
  </si>
  <si>
    <t xml:space="preserve">Weekly date night. Quarterly couple's retreat. Honest weekly money conversation.</t>
  </si>
  <si>
    <t xml:space="preserve">5 days/week movement. Sleep 8 hours. Quarterly check-ups. No excuses.</t>
  </si>
  <si>
    <t xml:space="preserve">Spiritual</t>
  </si>
  <si>
    <t xml:space="preserve">Daily meditation. Monthly silent time. Continuous integration of light into work and home.</t>
  </si>
  <si>
    <t xml:space="preserve">LIMITING BELIEF REFRAMES</t>
  </si>
  <si>
    <t xml:space="preserve">Old belief</t>
  </si>
  <si>
    <t xml:space="preserve">I can't afford to give yet — I need to take care of us first.</t>
  </si>
  <si>
    <t xml:space="preserve">Reframe</t>
  </si>
  <si>
    <t xml:space="preserve">Giving multiplies what flows through me. The path to abundance is generosity.</t>
  </si>
  <si>
    <t xml:space="preserve">Finance is too complicated for me.</t>
  </si>
  <si>
    <t xml:space="preserve">Finance is replicable math. Anyone can learn it. Education is the difference.</t>
  </si>
  <si>
    <t xml:space="preserve">I'll figure out money once we make more.</t>
  </si>
  <si>
    <t xml:space="preserve">We make more by figuring out money. Not the other way around.</t>
  </si>
  <si>
    <t xml:space="preserve">QUARTERLY ROCKS (Q1)</t>
  </si>
  <si>
    <t xml:space="preserve">Rock 1</t>
  </si>
  <si>
    <t xml:space="preserve">Fully populate Software by LGR with 90 days of data. Test every workflow.</t>
  </si>
  <si>
    <t xml:space="preserve">Rock 2</t>
  </si>
  <si>
    <t xml:space="preserve">Both spouses complete Vision To Reality. Dream Life Number locked.</t>
  </si>
  <si>
    <t xml:space="preserve">Rock 3</t>
  </si>
  <si>
    <t xml:space="preserve">Clear all credit card revolving balances.</t>
  </si>
  <si>
    <t xml:space="preserve">Rock 4</t>
  </si>
  <si>
    <t xml:space="preserve">First 30 days of Software by LGR training program drafted.</t>
  </si>
  <si>
    <t xml:space="preserve">Rock 5</t>
  </si>
  <si>
    <t xml:space="preserve">MONTHLY CHECK-IN</t>
  </si>
  <si>
    <t xml:space="preserve">What worked this month?</t>
  </si>
  <si>
    <t xml:space="preserve">What didn't?</t>
  </si>
  <si>
    <t xml:space="preserve">What's the one decision I need to make next month?</t>
  </si>
  <si>
    <t xml:space="preserve">WEEKLY REVIEW PROMPTS</t>
  </si>
  <si>
    <t xml:space="preserve">What moved me toward my Dream Life Number this week?</t>
  </si>
  <si>
    <t xml:space="preserve">What pulled me away?</t>
  </si>
  <si>
    <t xml:space="preserve">What is one impact-aware decision I'll make next week?</t>
  </si>
  <si>
    <t xml:space="preserve">INCOME STATEMENT</t>
  </si>
  <si>
    <t xml:space="preserve">The Money Making Machine, scaled to a person. Year-to-date totals by owner.</t>
  </si>
  <si>
    <t xml:space="preserve">Reporting Year</t>
  </si>
  <si>
    <t xml:space="preserve">Combined</t>
  </si>
  <si>
    <t xml:space="preserve">GROSS INCOME</t>
  </si>
  <si>
    <t xml:space="preserve">TOTAL GROSS INCOME</t>
  </si>
  <si>
    <t xml:space="preserve">EXPENSES</t>
  </si>
  <si>
    <t xml:space="preserve">TOTAL EXPENSES</t>
  </si>
  <si>
    <t xml:space="preserve">NET INCOME (Pre-Tax)</t>
  </si>
  <si>
    <t xml:space="preserve">Note: Taxes are treated as an expense category in this personal model. Net Income above is therefore already after-tax to the extent tax payments are logged in the Expense Log.</t>
  </si>
  <si>
    <t xml:space="preserve">CASH FLOW STATEMENT</t>
  </si>
  <si>
    <t xml:space="preserve">Where the money actually went. Operations + Investing + Financing = Net change in cash.</t>
  </si>
  <si>
    <t xml:space="preserve">CASH FROM OPERATIONS</t>
  </si>
  <si>
    <t xml:space="preserve">Total Income (all sources, all owners)</t>
  </si>
  <si>
    <t xml:space="preserve">From Income Statement, Combined column</t>
  </si>
  <si>
    <t xml:space="preserve">Total Operating Expenses</t>
  </si>
  <si>
    <t xml:space="preserve">Negative — money out</t>
  </si>
  <si>
    <t xml:space="preserve">NET CASH FROM OPERATIONS</t>
  </si>
  <si>
    <t xml:space="preserve">CASH FROM INVESTING</t>
  </si>
  <si>
    <t xml:space="preserve">Asset Purchases (manual input — track major buys)</t>
  </si>
  <si>
    <t xml:space="preserve">Enter as negative when buying assets</t>
  </si>
  <si>
    <t xml:space="preserve">Asset Sales (manual input — track major sales)</t>
  </si>
  <si>
    <t xml:space="preserve">Enter as positive when selling assets</t>
  </si>
  <si>
    <t xml:space="preserve">NET CASH FROM INVESTING</t>
  </si>
  <si>
    <t xml:space="preserve">CASH FROM FINANCING</t>
  </si>
  <si>
    <t xml:space="preserve">New Debt Taken On</t>
  </si>
  <si>
    <t xml:space="preserve">Enter as positive when taking on debt</t>
  </si>
  <si>
    <t xml:space="preserve">Debt Principal Paid Down</t>
  </si>
  <si>
    <t xml:space="preserve">Enter as negative when paying down debt</t>
  </si>
  <si>
    <t xml:space="preserve">NET CASH FROM FINANCING</t>
  </si>
  <si>
    <t xml:space="preserve">NET CHANGE IN CASH</t>
  </si>
  <si>
    <t xml:space="preserve">Net Change in Cash (Operations + Investing + Financing)</t>
  </si>
  <si>
    <t xml:space="preserve">BALANCE SHEET</t>
  </si>
  <si>
    <t xml:space="preserve">Snapshot of net worth. What you own minus what owns you.</t>
  </si>
  <si>
    <t xml:space="preserve">ASSETS</t>
  </si>
  <si>
    <t xml:space="preserve">TOTAL ASSETS</t>
  </si>
  <si>
    <t xml:space="preserve">LIABILITIES</t>
  </si>
  <si>
    <t xml:space="preserve">TOTAL LIABILITIES</t>
  </si>
  <si>
    <t xml:space="preserve">NET WORTH</t>
  </si>
  <si>
    <t xml:space="preserve">NET WORTH (Assets − Liabilities)</t>
  </si>
  <si>
    <t xml:space="preserve">THE GAP</t>
  </si>
  <si>
    <t xml:space="preserve">Where you are vs. where you're going. The math doesn't lie. The path is built on closing the gap.</t>
  </si>
  <si>
    <t xml:space="preserve">WHERE YOU ARE TODAY (last 12 months)</t>
  </si>
  <si>
    <t xml:space="preserve">Annual Income (Gross)</t>
  </si>
  <si>
    <t xml:space="preserve">Annual Expenses</t>
  </si>
  <si>
    <t xml:space="preserve">Net Income (Annual)</t>
  </si>
  <si>
    <t xml:space="preserve">Net Worth Today</t>
  </si>
  <si>
    <t xml:space="preserve">WHERE YOU'RE GOING (Dream Life Number)</t>
  </si>
  <si>
    <t xml:space="preserve">Dream Life Number — Monthly</t>
  </si>
  <si>
    <t xml:space="preserve">Dream Life Number — Annual</t>
  </si>
  <si>
    <t xml:space="preserve">Annual Income Today</t>
  </si>
  <si>
    <t xml:space="preserve">Annual Dream Life Number</t>
  </si>
  <si>
    <t xml:space="preserve">GAP TO CLOSE (Annual)</t>
  </si>
  <si>
    <t xml:space="preserve">Monthly Income Needed</t>
  </si>
  <si>
    <t xml:space="preserve">THE FOUR LENSES — How to close the gap</t>
  </si>
  <si>
    <t xml:space="preserve">1. SELL MORE: Increase income. Negotiate raise. Add side income. Build a business. Charge what you're worth.</t>
  </si>
  <si>
    <t xml:space="preserve">Highest leverage. Income has no ceiling.</t>
  </si>
  <si>
    <t xml:space="preserve">2. SPEND LESS: Reduce expenses. Cut what doesn't matter. Keep what does.</t>
  </si>
  <si>
    <t xml:space="preserve">Fastest. Every $1 saved = $1 you don't need to earn.</t>
  </si>
  <si>
    <t xml:space="preserve">3. PAY LESS IN TAX: Legally optimize tax structure. S-corp election. Retirement contributions. Depreciation.</t>
  </si>
  <si>
    <t xml:space="preserve">Often overlooked. Talk to a CPA who teaches this.</t>
  </si>
  <si>
    <t xml:space="preserve">4. BUY INCOME-PRODUCING ASSETS: Real estate. Dividend stocks. Businesses. Royalties. Money that arrives without your time.</t>
  </si>
  <si>
    <t xml:space="preserve">The endgame. The path to never working again.</t>
  </si>
  <si>
    <t xml:space="preserve">SETTINGS &amp; DROPDOWN LISTS</t>
  </si>
  <si>
    <t xml:space="preserve">Reference data feeding dropdowns and validation across the workbook.</t>
  </si>
  <si>
    <t xml:space="preserve">OWNERS</t>
  </si>
  <si>
    <t xml:space="preserve">PAYMENT METHODS</t>
  </si>
  <si>
    <t xml:space="preserve">Cash</t>
  </si>
  <si>
    <t xml:space="preserve">Debit Card</t>
  </si>
  <si>
    <t xml:space="preserve">Check</t>
  </si>
  <si>
    <t xml:space="preserve">Other</t>
  </si>
  <si>
    <t xml:space="preserve">REPORTING YEAR</t>
  </si>
  <si>
    <t xml:space="preserve">APP_LOG — every write the app makes lands here</t>
  </si>
  <si>
    <t xml:space="preserve">When you log an income or expense through Ask Zach (v1.2), or click "Test write" on the Data Connections page, a new row appears below. This tab is append-only — the app never reads from here, only writes.</t>
  </si>
  <si>
    <t xml:space="preserve">Timestamp</t>
  </si>
  <si>
    <t xml:space="preserve">Action</t>
  </si>
  <si>
    <t xml:space="preserve">Details</t>
  </si>
  <si>
    <t xml:space="preserve">Source</t>
  </si>
  <si>
    <t xml:space="preserve">2026-04-28 14:00</t>
  </si>
  <si>
    <t xml:space="preserve">sample</t>
  </si>
  <si>
    <t xml:space="preserve">This row is here to show the shape — the app appends below.</t>
  </si>
  <si>
    <t xml:space="preserve">template</t>
  </si>
  <si>
    <t xml:space="preserve">APP_DATA — machine-readable export for Software by Learn And Grow Rich (schema v2.0)</t>
  </si>
  <si>
    <t xml:space="preserve">All values are formulas referencing the rich tabs. Edit those tabs; this updates automatically. The app reads this tab via OAuth (Sheets API) or as a published CSV (read-only fallback).</t>
  </si>
  <si>
    <t xml:space="preserve">key</t>
  </si>
  <si>
    <t xml:space="preserve">value</t>
  </si>
  <si>
    <t xml:space="preserve">notes</t>
  </si>
  <si>
    <t xml:space="preserve">METADATA</t>
  </si>
  <si>
    <t xml:space="preserve">Metadata about this export</t>
  </si>
  <si>
    <t xml:space="preserve">schema_version</t>
  </si>
  <si>
    <t xml:space="preserve">"v2.0"</t>
  </si>
  <si>
    <t xml:space="preserve">Bumped — now includes line-item granularity</t>
  </si>
  <si>
    <t xml:space="preserve">last_updated</t>
  </si>
  <si>
    <t xml:space="preserve">Auto-stamps every recalc</t>
  </si>
  <si>
    <t xml:space="preserve">HOUSEHOLD</t>
  </si>
  <si>
    <t xml:space="preserve">Household identity</t>
  </si>
  <si>
    <t xml:space="preserve">household_name</t>
  </si>
  <si>
    <t xml:space="preserve">country</t>
  </si>
  <si>
    <t xml:space="preserve">currency</t>
  </si>
  <si>
    <t xml:space="preserve">filing_status</t>
  </si>
  <si>
    <t xml:space="preserve">HIS</t>
  </si>
  <si>
    <t xml:space="preserve">Spouse 1</t>
  </si>
  <si>
    <t xml:space="preserve">his_name</t>
  </si>
  <si>
    <t xml:space="preserve">his_age</t>
  </si>
  <si>
    <t xml:space="preserve">his_role</t>
  </si>
  <si>
    <t xml:space="preserve">HERS</t>
  </si>
  <si>
    <t xml:space="preserve">Spouse 2</t>
  </si>
  <si>
    <t xml:space="preserve">hers_name</t>
  </si>
  <si>
    <t xml:space="preserve">hers_age</t>
  </si>
  <si>
    <t xml:space="preserve">hers_role</t>
  </si>
  <si>
    <t xml:space="preserve">DREAM_LIFE</t>
  </si>
  <si>
    <t xml:space="preserve">Dream Life Numbers</t>
  </si>
  <si>
    <t xml:space="preserve">his_dln_monthly</t>
  </si>
  <si>
    <t xml:space="preserve">his_dln_annual</t>
  </si>
  <si>
    <t xml:space="preserve">hers_dln_monthly</t>
  </si>
  <si>
    <t xml:space="preserve">hers_dln_annual</t>
  </si>
  <si>
    <t xml:space="preserve">joint_dln_monthly</t>
  </si>
  <si>
    <t xml:space="preserve">joint_dln_annual</t>
  </si>
  <si>
    <t xml:space="preserve">combined_dln_monthly</t>
  </si>
  <si>
    <t xml:space="preserve">combined_dln_annual</t>
  </si>
  <si>
    <t xml:space="preserve">Total annual cost of the dream life</t>
  </si>
  <si>
    <t xml:space="preserve">CURRENT_STATE</t>
  </si>
  <si>
    <t xml:space="preserve">Where you are today (last 12 months)</t>
  </si>
  <si>
    <t xml:space="preserve">annual_income</t>
  </si>
  <si>
    <t xml:space="preserve">Combined annual income</t>
  </si>
  <si>
    <t xml:space="preserve">annual_expenses</t>
  </si>
  <si>
    <t xml:space="preserve">Combined annual expenses</t>
  </si>
  <si>
    <t xml:space="preserve">annual_net</t>
  </si>
  <si>
    <t xml:space="preserve">Income - expenses</t>
  </si>
  <si>
    <t xml:space="preserve">his_annual_income</t>
  </si>
  <si>
    <t xml:space="preserve">hers_annual_income</t>
  </si>
  <si>
    <t xml:space="preserve">joint_annual_income</t>
  </si>
  <si>
    <t xml:space="preserve">BALANCE_SHEET_TOTALS</t>
  </si>
  <si>
    <t xml:space="preserve">Net worth top line</t>
  </si>
  <si>
    <t xml:space="preserve">total_assets</t>
  </si>
  <si>
    <t xml:space="preserve">total_liabilities</t>
  </si>
  <si>
    <t xml:space="preserve">net_worth</t>
  </si>
  <si>
    <t xml:space="preserve">his_net_worth</t>
  </si>
  <si>
    <t xml:space="preserve">hers_net_worth</t>
  </si>
  <si>
    <t xml:space="preserve">joint_net_worth</t>
  </si>
  <si>
    <t xml:space="preserve">GAP</t>
  </si>
  <si>
    <t xml:space="preserve">The math</t>
  </si>
  <si>
    <t xml:space="preserve">gap_annual</t>
  </si>
  <si>
    <t xml:space="preserve">Annual income gap</t>
  </si>
  <si>
    <t xml:space="preserve">gap_monthly_needed</t>
  </si>
  <si>
    <t xml:space="preserve">Monthly income needed</t>
  </si>
  <si>
    <t xml:space="preserve">INCOME_STATEMENT_DETAIL</t>
  </si>
  <si>
    <t xml:space="preserve">Every income/expense line, by owner</t>
  </si>
  <si>
    <t xml:space="preserve">is_his_active_income</t>
  </si>
  <si>
    <t xml:space="preserve">Active Income (W-2, salary, contract) — his</t>
  </si>
  <si>
    <t xml:space="preserve">is_hers_active_income</t>
  </si>
  <si>
    <t xml:space="preserve">Active Income (W-2, salary, contract) — hers</t>
  </si>
  <si>
    <t xml:space="preserve">is_joint_active_income</t>
  </si>
  <si>
    <t xml:space="preserve">Active Income (W-2, salary, contract) — joint</t>
  </si>
  <si>
    <t xml:space="preserve">is_total_active_income</t>
  </si>
  <si>
    <t xml:space="preserve">Active Income (W-2, salary, contract) — total</t>
  </si>
  <si>
    <t xml:space="preserve">is_his_business_income</t>
  </si>
  <si>
    <t xml:space="preserve">Business Income (S-corp, LLC distributions) — his</t>
  </si>
  <si>
    <t xml:space="preserve">is_hers_business_income</t>
  </si>
  <si>
    <t xml:space="preserve">Business Income (S-corp, LLC distributions) — hers</t>
  </si>
  <si>
    <t xml:space="preserve">is_joint_business_income</t>
  </si>
  <si>
    <t xml:space="preserve">Business Income (S-corp, LLC distributions) — joint</t>
  </si>
  <si>
    <t xml:space="preserve">is_total_business_income</t>
  </si>
  <si>
    <t xml:space="preserve">Business Income (S-corp, LLC distributions) — total</t>
  </si>
  <si>
    <t xml:space="preserve">is_his_passive_income</t>
  </si>
  <si>
    <t xml:space="preserve">Passive Income (rental, dividends, interest) — his</t>
  </si>
  <si>
    <t xml:space="preserve">is_hers_passive_income</t>
  </si>
  <si>
    <t xml:space="preserve">Passive Income (rental, dividends, interest) — hers</t>
  </si>
  <si>
    <t xml:space="preserve">is_joint_passive_income</t>
  </si>
  <si>
    <t xml:space="preserve">Passive Income (rental, dividends, interest) — joint</t>
  </si>
  <si>
    <t xml:space="preserve">is_total_passive_income</t>
  </si>
  <si>
    <t xml:space="preserve">Passive Income (rental, dividends, interest) — total</t>
  </si>
  <si>
    <t xml:space="preserve">is_his_side_income</t>
  </si>
  <si>
    <t xml:space="preserve">Side Income (freelance, gigs) — his</t>
  </si>
  <si>
    <t xml:space="preserve">is_hers_side_income</t>
  </si>
  <si>
    <t xml:space="preserve">Side Income (freelance, gigs) — hers</t>
  </si>
  <si>
    <t xml:space="preserve">is_joint_side_income</t>
  </si>
  <si>
    <t xml:space="preserve">Side Income (freelance, gigs) — joint</t>
  </si>
  <si>
    <t xml:space="preserve">is_total_side_income</t>
  </si>
  <si>
    <t xml:space="preserve">Side Income (freelance, gigs) — total</t>
  </si>
  <si>
    <t xml:space="preserve">is_his_investment_gains</t>
  </si>
  <si>
    <t xml:space="preserve">Investment Gains (capital gains, realized) — his</t>
  </si>
  <si>
    <t xml:space="preserve">is_hers_investment_gains</t>
  </si>
  <si>
    <t xml:space="preserve">Investment Gains (capital gains, realized) — hers</t>
  </si>
  <si>
    <t xml:space="preserve">is_joint_investment_gains</t>
  </si>
  <si>
    <t xml:space="preserve">Investment Gains (capital gains, realized) — joint</t>
  </si>
  <si>
    <t xml:space="preserve">is_total_investment_gains</t>
  </si>
  <si>
    <t xml:space="preserve">Investment Gains (capital gains, realized) — total</t>
  </si>
  <si>
    <t xml:space="preserve">is_his_gifts_windfalls</t>
  </si>
  <si>
    <t xml:space="preserve">Gifts &amp; Windfalls — his</t>
  </si>
  <si>
    <t xml:space="preserve">is_hers_gifts_windfalls</t>
  </si>
  <si>
    <t xml:space="preserve">Gifts &amp; Windfalls — hers</t>
  </si>
  <si>
    <t xml:space="preserve">is_joint_gifts_windfalls</t>
  </si>
  <si>
    <t xml:space="preserve">Gifts &amp; Windfalls — joint</t>
  </si>
  <si>
    <t xml:space="preserve">is_total_gifts_windfalls</t>
  </si>
  <si>
    <t xml:space="preserve">Gifts &amp; Windfalls — total</t>
  </si>
  <si>
    <t xml:space="preserve">is_his_other_income</t>
  </si>
  <si>
    <t xml:space="preserve">Other Income — his</t>
  </si>
  <si>
    <t xml:space="preserve">is_hers_other_income</t>
  </si>
  <si>
    <t xml:space="preserve">Other Income — hers</t>
  </si>
  <si>
    <t xml:space="preserve">is_joint_other_income</t>
  </si>
  <si>
    <t xml:space="preserve">Other Income — joint</t>
  </si>
  <si>
    <t xml:space="preserve">is_total_other_income</t>
  </si>
  <si>
    <t xml:space="preserve">Other Income — total</t>
  </si>
  <si>
    <t xml:space="preserve">is_his_total_gross_income</t>
  </si>
  <si>
    <t xml:space="preserve">TOTAL gross income — his</t>
  </si>
  <si>
    <t xml:space="preserve">is_hers_total_gross_income</t>
  </si>
  <si>
    <t xml:space="preserve">TOTAL gross income — hers</t>
  </si>
  <si>
    <t xml:space="preserve">is_joint_total_gross_income</t>
  </si>
  <si>
    <t xml:space="preserve">TOTAL gross income — joint</t>
  </si>
  <si>
    <t xml:space="preserve">is_total_total_gross_income</t>
  </si>
  <si>
    <t xml:space="preserve">TOTAL gross income — total</t>
  </si>
  <si>
    <t xml:space="preserve">is_his_exp_housing</t>
  </si>
  <si>
    <t xml:space="preserve">Housing — his</t>
  </si>
  <si>
    <t xml:space="preserve">is_hers_exp_housing</t>
  </si>
  <si>
    <t xml:space="preserve">Housing — hers</t>
  </si>
  <si>
    <t xml:space="preserve">is_joint_exp_housing</t>
  </si>
  <si>
    <t xml:space="preserve">Housing — joint</t>
  </si>
  <si>
    <t xml:space="preserve">is_total_exp_housing</t>
  </si>
  <si>
    <t xml:space="preserve">Housing — total</t>
  </si>
  <si>
    <t xml:space="preserve">is_his_exp_food</t>
  </si>
  <si>
    <t xml:space="preserve">Food — his</t>
  </si>
  <si>
    <t xml:space="preserve">is_hers_exp_food</t>
  </si>
  <si>
    <t xml:space="preserve">Food — hers</t>
  </si>
  <si>
    <t xml:space="preserve">is_joint_exp_food</t>
  </si>
  <si>
    <t xml:space="preserve">Food — joint</t>
  </si>
  <si>
    <t xml:space="preserve">is_total_exp_food</t>
  </si>
  <si>
    <t xml:space="preserve">Food — total</t>
  </si>
  <si>
    <t xml:space="preserve">is_his_exp_transport</t>
  </si>
  <si>
    <t xml:space="preserve">Transport — his</t>
  </si>
  <si>
    <t xml:space="preserve">is_hers_exp_transport</t>
  </si>
  <si>
    <t xml:space="preserve">Transport — hers</t>
  </si>
  <si>
    <t xml:space="preserve">is_joint_exp_transport</t>
  </si>
  <si>
    <t xml:space="preserve">Transport — joint</t>
  </si>
  <si>
    <t xml:space="preserve">is_total_exp_transport</t>
  </si>
  <si>
    <t xml:space="preserve">Transport — total</t>
  </si>
  <si>
    <t xml:space="preserve">is_his_exp_health</t>
  </si>
  <si>
    <t xml:space="preserve">Health — his</t>
  </si>
  <si>
    <t xml:space="preserve">is_hers_exp_health</t>
  </si>
  <si>
    <t xml:space="preserve">Health — hers</t>
  </si>
  <si>
    <t xml:space="preserve">is_joint_exp_health</t>
  </si>
  <si>
    <t xml:space="preserve">Health — joint</t>
  </si>
  <si>
    <t xml:space="preserve">is_total_exp_health</t>
  </si>
  <si>
    <t xml:space="preserve">Health — total</t>
  </si>
  <si>
    <t xml:space="preserve">is_his_exp_lifestyle</t>
  </si>
  <si>
    <t xml:space="preserve">Lifestyle — his</t>
  </si>
  <si>
    <t xml:space="preserve">is_hers_exp_lifestyle</t>
  </si>
  <si>
    <t xml:space="preserve">Lifestyle — hers</t>
  </si>
  <si>
    <t xml:space="preserve">is_joint_exp_lifestyle</t>
  </si>
  <si>
    <t xml:space="preserve">Lifestyle — joint</t>
  </si>
  <si>
    <t xml:space="preserve">is_total_exp_lifestyle</t>
  </si>
  <si>
    <t xml:space="preserve">Lifestyle — total</t>
  </si>
  <si>
    <t xml:space="preserve">is_his_exp_travel</t>
  </si>
  <si>
    <t xml:space="preserve">Travel &amp; Adventure — his</t>
  </si>
  <si>
    <t xml:space="preserve">is_hers_exp_travel</t>
  </si>
  <si>
    <t xml:space="preserve">Travel &amp; Adventure — hers</t>
  </si>
  <si>
    <t xml:space="preserve">is_joint_exp_travel</t>
  </si>
  <si>
    <t xml:space="preserve">Travel &amp; Adventure — joint</t>
  </si>
  <si>
    <t xml:space="preserve">is_total_exp_travel</t>
  </si>
  <si>
    <t xml:space="preserve">Travel &amp; Adventure — total</t>
  </si>
  <si>
    <t xml:space="preserve">is_his_exp_family_kids</t>
  </si>
  <si>
    <t xml:space="preserve">Family &amp; Kids — his</t>
  </si>
  <si>
    <t xml:space="preserve">is_hers_exp_family_kids</t>
  </si>
  <si>
    <t xml:space="preserve">Family &amp; Kids — hers</t>
  </si>
  <si>
    <t xml:space="preserve">is_joint_exp_family_kids</t>
  </si>
  <si>
    <t xml:space="preserve">Family &amp; Kids — joint</t>
  </si>
  <si>
    <t xml:space="preserve">is_total_exp_family_kids</t>
  </si>
  <si>
    <t xml:space="preserve">Family &amp; Kids — total</t>
  </si>
  <si>
    <t xml:space="preserve">is_his_exp_education</t>
  </si>
  <si>
    <t xml:space="preserve">Education — his</t>
  </si>
  <si>
    <t xml:space="preserve">is_hers_exp_education</t>
  </si>
  <si>
    <t xml:space="preserve">Education — hers</t>
  </si>
  <si>
    <t xml:space="preserve">is_joint_exp_education</t>
  </si>
  <si>
    <t xml:space="preserve">Education — joint</t>
  </si>
  <si>
    <t xml:space="preserve">is_total_exp_education</t>
  </si>
  <si>
    <t xml:space="preserve">Education — total</t>
  </si>
  <si>
    <t xml:space="preserve">is_his_exp_personal</t>
  </si>
  <si>
    <t xml:space="preserve">Personal — his</t>
  </si>
  <si>
    <t xml:space="preserve">is_hers_exp_personal</t>
  </si>
  <si>
    <t xml:space="preserve">Personal — hers</t>
  </si>
  <si>
    <t xml:space="preserve">is_joint_exp_personal</t>
  </si>
  <si>
    <t xml:space="preserve">Personal — joint</t>
  </si>
  <si>
    <t xml:space="preserve">is_total_exp_personal</t>
  </si>
  <si>
    <t xml:space="preserve">Personal — total</t>
  </si>
  <si>
    <t xml:space="preserve">is_his_exp_subscriptions</t>
  </si>
  <si>
    <t xml:space="preserve">Subscriptions — his</t>
  </si>
  <si>
    <t xml:space="preserve">is_hers_exp_subscriptions</t>
  </si>
  <si>
    <t xml:space="preserve">Subscriptions — hers</t>
  </si>
  <si>
    <t xml:space="preserve">is_joint_exp_subscriptions</t>
  </si>
  <si>
    <t xml:space="preserve">Subscriptions — joint</t>
  </si>
  <si>
    <t xml:space="preserve">is_total_exp_subscriptions</t>
  </si>
  <si>
    <t xml:space="preserve">Subscriptions — total</t>
  </si>
  <si>
    <t xml:space="preserve">is_his_exp_giving</t>
  </si>
  <si>
    <t xml:space="preserve">Giving — his</t>
  </si>
  <si>
    <t xml:space="preserve">is_hers_exp_giving</t>
  </si>
  <si>
    <t xml:space="preserve">Giving — hers</t>
  </si>
  <si>
    <t xml:space="preserve">is_joint_exp_giving</t>
  </si>
  <si>
    <t xml:space="preserve">Giving — joint</t>
  </si>
  <si>
    <t xml:space="preserve">is_total_exp_giving</t>
  </si>
  <si>
    <t xml:space="preserve">Giving — total</t>
  </si>
  <si>
    <t xml:space="preserve">is_his_exp_taxes</t>
  </si>
  <si>
    <t xml:space="preserve">Taxes — his</t>
  </si>
  <si>
    <t xml:space="preserve">is_hers_exp_taxes</t>
  </si>
  <si>
    <t xml:space="preserve">Taxes — hers</t>
  </si>
  <si>
    <t xml:space="preserve">is_joint_exp_taxes</t>
  </si>
  <si>
    <t xml:space="preserve">Taxes — joint</t>
  </si>
  <si>
    <t xml:space="preserve">is_total_exp_taxes</t>
  </si>
  <si>
    <t xml:space="preserve">Taxes — total</t>
  </si>
  <si>
    <t xml:space="preserve">is_his_exp_debt_service</t>
  </si>
  <si>
    <t xml:space="preserve">Debt Service — his</t>
  </si>
  <si>
    <t xml:space="preserve">is_hers_exp_debt_service</t>
  </si>
  <si>
    <t xml:space="preserve">Debt Service — hers</t>
  </si>
  <si>
    <t xml:space="preserve">is_joint_exp_debt_service</t>
  </si>
  <si>
    <t xml:space="preserve">Debt Service — joint</t>
  </si>
  <si>
    <t xml:space="preserve">is_total_exp_debt_service</t>
  </si>
  <si>
    <t xml:space="preserve">Debt Service — total</t>
  </si>
  <si>
    <t xml:space="preserve">is_his_exp_insurance</t>
  </si>
  <si>
    <t xml:space="preserve">Insurance — his</t>
  </si>
  <si>
    <t xml:space="preserve">is_hers_exp_insurance</t>
  </si>
  <si>
    <t xml:space="preserve">Insurance — hers</t>
  </si>
  <si>
    <t xml:space="preserve">is_joint_exp_insurance</t>
  </si>
  <si>
    <t xml:space="preserve">Insurance — joint</t>
  </si>
  <si>
    <t xml:space="preserve">is_total_exp_insurance</t>
  </si>
  <si>
    <t xml:space="preserve">Insurance — total</t>
  </si>
  <si>
    <t xml:space="preserve">is_his_exp_other</t>
  </si>
  <si>
    <t xml:space="preserve">Other Expenses — his</t>
  </si>
  <si>
    <t xml:space="preserve">is_hers_exp_other</t>
  </si>
  <si>
    <t xml:space="preserve">Other Expenses — hers</t>
  </si>
  <si>
    <t xml:space="preserve">is_joint_exp_other</t>
  </si>
  <si>
    <t xml:space="preserve">Other Expenses — joint</t>
  </si>
  <si>
    <t xml:space="preserve">is_total_exp_other</t>
  </si>
  <si>
    <t xml:space="preserve">Other Expenses — total</t>
  </si>
  <si>
    <t xml:space="preserve">is_his_exp_total</t>
  </si>
  <si>
    <t xml:space="preserve">TOTAL expenses — his</t>
  </si>
  <si>
    <t xml:space="preserve">is_hers_exp_total</t>
  </si>
  <si>
    <t xml:space="preserve">TOTAL expenses — hers</t>
  </si>
  <si>
    <t xml:space="preserve">is_joint_exp_total</t>
  </si>
  <si>
    <t xml:space="preserve">TOTAL expenses — joint</t>
  </si>
  <si>
    <t xml:space="preserve">is_total_exp_total</t>
  </si>
  <si>
    <t xml:space="preserve">TOTAL expenses — total</t>
  </si>
  <si>
    <t xml:space="preserve">is_his_net_income_pretax</t>
  </si>
  <si>
    <t xml:space="preserve">Net income (income - expenses) — his</t>
  </si>
  <si>
    <t xml:space="preserve">is_hers_net_income_pretax</t>
  </si>
  <si>
    <t xml:space="preserve">Net income (income - expenses) — hers</t>
  </si>
  <si>
    <t xml:space="preserve">is_joint_net_income_pretax</t>
  </si>
  <si>
    <t xml:space="preserve">Net income (income - expenses) — joint</t>
  </si>
  <si>
    <t xml:space="preserve">is_total_net_income_pretax</t>
  </si>
  <si>
    <t xml:space="preserve">Net income (income - expenses) — total</t>
  </si>
  <si>
    <t xml:space="preserve">CASH_FLOW_DETAIL</t>
  </si>
  <si>
    <t xml:space="preserve">Cash flow line items</t>
  </si>
  <si>
    <t xml:space="preserve">cf_total_income</t>
  </si>
  <si>
    <t xml:space="preserve">CF: total income</t>
  </si>
  <si>
    <t xml:space="preserve">cf_total_expenses</t>
  </si>
  <si>
    <t xml:space="preserve">CF: total expenses (negative)</t>
  </si>
  <si>
    <t xml:space="preserve">cf_net_from_operations</t>
  </si>
  <si>
    <t xml:space="preserve">CF: net cash from operations</t>
  </si>
  <si>
    <t xml:space="preserve">cf_asset_purchases</t>
  </si>
  <si>
    <t xml:space="preserve">CF: asset purchases (manual)</t>
  </si>
  <si>
    <t xml:space="preserve">cf_asset_sales</t>
  </si>
  <si>
    <t xml:space="preserve">CF: asset sales (manual)</t>
  </si>
  <si>
    <t xml:space="preserve">cf_net_from_investing</t>
  </si>
  <si>
    <t xml:space="preserve">CF: net cash from investing</t>
  </si>
  <si>
    <t xml:space="preserve">cf_new_debt</t>
  </si>
  <si>
    <t xml:space="preserve">CF: new debt taken on</t>
  </si>
  <si>
    <t xml:space="preserve">cf_debt_paid</t>
  </si>
  <si>
    <t xml:space="preserve">CF: debt paid down</t>
  </si>
  <si>
    <t xml:space="preserve">cf_net_from_financing</t>
  </si>
  <si>
    <t xml:space="preserve">CF: net cash from financing</t>
  </si>
  <si>
    <t xml:space="preserve">cf_net_change_in_cash</t>
  </si>
  <si>
    <t xml:space="preserve">CF: net change in cash</t>
  </si>
  <si>
    <t xml:space="preserve">BALANCE_SHEET_DETAIL</t>
  </si>
  <si>
    <t xml:space="preserve">Every asset/liability line, by owner</t>
  </si>
  <si>
    <t xml:space="preserve">bs_his_asset_cash</t>
  </si>
  <si>
    <t xml:space="preserve">Cash &amp; Equivalents — his</t>
  </si>
  <si>
    <t xml:space="preserve">bs_hers_asset_cash</t>
  </si>
  <si>
    <t xml:space="preserve">Cash &amp; Equivalents — hers</t>
  </si>
  <si>
    <t xml:space="preserve">bs_joint_asset_cash</t>
  </si>
  <si>
    <t xml:space="preserve">Cash &amp; Equivalents — joint</t>
  </si>
  <si>
    <t xml:space="preserve">bs_total_asset_cash</t>
  </si>
  <si>
    <t xml:space="preserve">Cash &amp; Equivalents — total</t>
  </si>
  <si>
    <t xml:space="preserve">bs_his_asset_investments</t>
  </si>
  <si>
    <t xml:space="preserve">Taxable Investments — his</t>
  </si>
  <si>
    <t xml:space="preserve">bs_hers_asset_investments</t>
  </si>
  <si>
    <t xml:space="preserve">Taxable Investments — hers</t>
  </si>
  <si>
    <t xml:space="preserve">bs_joint_asset_investments</t>
  </si>
  <si>
    <t xml:space="preserve">Taxable Investments — joint</t>
  </si>
  <si>
    <t xml:space="preserve">bs_total_asset_investments</t>
  </si>
  <si>
    <t xml:space="preserve">Taxable Investments — total</t>
  </si>
  <si>
    <t xml:space="preserve">bs_his_asset_retirement</t>
  </si>
  <si>
    <t xml:space="preserve">Retirement Accounts — his</t>
  </si>
  <si>
    <t xml:space="preserve">bs_hers_asset_retirement</t>
  </si>
  <si>
    <t xml:space="preserve">Retirement Accounts — hers</t>
  </si>
  <si>
    <t xml:space="preserve">bs_joint_asset_retirement</t>
  </si>
  <si>
    <t xml:space="preserve">Retirement Accounts — joint</t>
  </si>
  <si>
    <t xml:space="preserve">bs_total_asset_retirement</t>
  </si>
  <si>
    <t xml:space="preserve">Retirement Accounts — total</t>
  </si>
  <si>
    <t xml:space="preserve">bs_his_asset_real_estate</t>
  </si>
  <si>
    <t xml:space="preserve">Real Estate — his</t>
  </si>
  <si>
    <t xml:space="preserve">bs_hers_asset_real_estate</t>
  </si>
  <si>
    <t xml:space="preserve">Real Estate — hers</t>
  </si>
  <si>
    <t xml:space="preserve">bs_joint_asset_real_estate</t>
  </si>
  <si>
    <t xml:space="preserve">Real Estate — joint</t>
  </si>
  <si>
    <t xml:space="preserve">bs_total_asset_real_estate</t>
  </si>
  <si>
    <t xml:space="preserve">Real Estate — total</t>
  </si>
  <si>
    <t xml:space="preserve">bs_his_asset_vehicles</t>
  </si>
  <si>
    <t xml:space="preserve">Vehicles — his</t>
  </si>
  <si>
    <t xml:space="preserve">bs_hers_asset_vehicles</t>
  </si>
  <si>
    <t xml:space="preserve">Vehicles — hers</t>
  </si>
  <si>
    <t xml:space="preserve">bs_joint_asset_vehicles</t>
  </si>
  <si>
    <t xml:space="preserve">Vehicles — joint</t>
  </si>
  <si>
    <t xml:space="preserve">bs_total_asset_vehicles</t>
  </si>
  <si>
    <t xml:space="preserve">Vehicles — total</t>
  </si>
  <si>
    <t xml:space="preserve">bs_his_asset_businesses</t>
  </si>
  <si>
    <t xml:space="preserve">Businesses Owned — his</t>
  </si>
  <si>
    <t xml:space="preserve">bs_hers_asset_businesses</t>
  </si>
  <si>
    <t xml:space="preserve">Businesses Owned — hers</t>
  </si>
  <si>
    <t xml:space="preserve">bs_joint_asset_businesses</t>
  </si>
  <si>
    <t xml:space="preserve">Businesses Owned — joint</t>
  </si>
  <si>
    <t xml:space="preserve">bs_total_asset_businesses</t>
  </si>
  <si>
    <t xml:space="preserve">Businesses Owned — total</t>
  </si>
  <si>
    <t xml:space="preserve">bs_his_asset_other</t>
  </si>
  <si>
    <t xml:space="preserve">Other Assets — his</t>
  </si>
  <si>
    <t xml:space="preserve">bs_hers_asset_other</t>
  </si>
  <si>
    <t xml:space="preserve">Other Assets — hers</t>
  </si>
  <si>
    <t xml:space="preserve">bs_joint_asset_other</t>
  </si>
  <si>
    <t xml:space="preserve">Other Assets — joint</t>
  </si>
  <si>
    <t xml:space="preserve">bs_total_asset_other</t>
  </si>
  <si>
    <t xml:space="preserve">Other Assets — total</t>
  </si>
  <si>
    <t xml:space="preserve">bs_his_asset_total</t>
  </si>
  <si>
    <t xml:space="preserve">TOTAL assets — his</t>
  </si>
  <si>
    <t xml:space="preserve">bs_hers_asset_total</t>
  </si>
  <si>
    <t xml:space="preserve">TOTAL assets — hers</t>
  </si>
  <si>
    <t xml:space="preserve">bs_joint_asset_total</t>
  </si>
  <si>
    <t xml:space="preserve">TOTAL assets — joint</t>
  </si>
  <si>
    <t xml:space="preserve">bs_total_asset_total</t>
  </si>
  <si>
    <t xml:space="preserve">TOTAL assets — total</t>
  </si>
  <si>
    <t xml:space="preserve">bs_his_liab_credit_cards</t>
  </si>
  <si>
    <t xml:space="preserve">Credit Cards — his</t>
  </si>
  <si>
    <t xml:space="preserve">bs_hers_liab_credit_cards</t>
  </si>
  <si>
    <t xml:space="preserve">Credit Cards — hers</t>
  </si>
  <si>
    <t xml:space="preserve">bs_joint_liab_credit_cards</t>
  </si>
  <si>
    <t xml:space="preserve">Credit Cards — joint</t>
  </si>
  <si>
    <t xml:space="preserve">bs_total_liab_credit_cards</t>
  </si>
  <si>
    <t xml:space="preserve">Credit Cards — total</t>
  </si>
  <si>
    <t xml:space="preserve">bs_his_liab_personal_loans</t>
  </si>
  <si>
    <t xml:space="preserve">Personal Loans — his</t>
  </si>
  <si>
    <t xml:space="preserve">bs_hers_liab_personal_loans</t>
  </si>
  <si>
    <t xml:space="preserve">Personal Loans — hers</t>
  </si>
  <si>
    <t xml:space="preserve">bs_joint_liab_personal_loans</t>
  </si>
  <si>
    <t xml:space="preserve">Personal Loans — joint</t>
  </si>
  <si>
    <t xml:space="preserve">bs_total_liab_personal_loans</t>
  </si>
  <si>
    <t xml:space="preserve">Personal Loans — total</t>
  </si>
  <si>
    <t xml:space="preserve">bs_his_liab_auto_loans</t>
  </si>
  <si>
    <t xml:space="preserve">Auto Loans — his</t>
  </si>
  <si>
    <t xml:space="preserve">bs_hers_liab_auto_loans</t>
  </si>
  <si>
    <t xml:space="preserve">Auto Loans — hers</t>
  </si>
  <si>
    <t xml:space="preserve">bs_joint_liab_auto_loans</t>
  </si>
  <si>
    <t xml:space="preserve">Auto Loans — joint</t>
  </si>
  <si>
    <t xml:space="preserve">bs_total_liab_auto_loans</t>
  </si>
  <si>
    <t xml:space="preserve">Auto Loans — total</t>
  </si>
  <si>
    <t xml:space="preserve">bs_his_liab_student_loans</t>
  </si>
  <si>
    <t xml:space="preserve">Student Loans — his</t>
  </si>
  <si>
    <t xml:space="preserve">bs_hers_liab_student_loans</t>
  </si>
  <si>
    <t xml:space="preserve">Student Loans — hers</t>
  </si>
  <si>
    <t xml:space="preserve">bs_joint_liab_student_loans</t>
  </si>
  <si>
    <t xml:space="preserve">Student Loans — joint</t>
  </si>
  <si>
    <t xml:space="preserve">bs_total_liab_student_loans</t>
  </si>
  <si>
    <t xml:space="preserve">Student Loans — total</t>
  </si>
  <si>
    <t xml:space="preserve">bs_his_liab_mortgages</t>
  </si>
  <si>
    <t xml:space="preserve">Mortgages — his</t>
  </si>
  <si>
    <t xml:space="preserve">bs_hers_liab_mortgages</t>
  </si>
  <si>
    <t xml:space="preserve">Mortgages — hers</t>
  </si>
  <si>
    <t xml:space="preserve">bs_joint_liab_mortgages</t>
  </si>
  <si>
    <t xml:space="preserve">Mortgages — joint</t>
  </si>
  <si>
    <t xml:space="preserve">bs_total_liab_mortgages</t>
  </si>
  <si>
    <t xml:space="preserve">Mortgages — total</t>
  </si>
  <si>
    <t xml:space="preserve">bs_his_liab_business_debt</t>
  </si>
  <si>
    <t xml:space="preserve">Business Debt — his</t>
  </si>
  <si>
    <t xml:space="preserve">bs_hers_liab_business_debt</t>
  </si>
  <si>
    <t xml:space="preserve">Business Debt — hers</t>
  </si>
  <si>
    <t xml:space="preserve">bs_joint_liab_business_debt</t>
  </si>
  <si>
    <t xml:space="preserve">Business Debt — joint</t>
  </si>
  <si>
    <t xml:space="preserve">bs_total_liab_business_debt</t>
  </si>
  <si>
    <t xml:space="preserve">Business Debt — total</t>
  </si>
  <si>
    <t xml:space="preserve">bs_his_liab_other</t>
  </si>
  <si>
    <t xml:space="preserve">Other Liabilities — his</t>
  </si>
  <si>
    <t xml:space="preserve">bs_hers_liab_other</t>
  </si>
  <si>
    <t xml:space="preserve">Other Liabilities — hers</t>
  </si>
  <si>
    <t xml:space="preserve">bs_joint_liab_other</t>
  </si>
  <si>
    <t xml:space="preserve">Other Liabilities — joint</t>
  </si>
  <si>
    <t xml:space="preserve">bs_total_liab_other</t>
  </si>
  <si>
    <t xml:space="preserve">Other Liabilities — total</t>
  </si>
  <si>
    <t xml:space="preserve">bs_his_liab_total</t>
  </si>
  <si>
    <t xml:space="preserve">TOTAL liabilities — his</t>
  </si>
  <si>
    <t xml:space="preserve">bs_hers_liab_total</t>
  </si>
  <si>
    <t xml:space="preserve">TOTAL liabilities — hers</t>
  </si>
  <si>
    <t xml:space="preserve">bs_joint_liab_total</t>
  </si>
  <si>
    <t xml:space="preserve">TOTAL liabilities — joint</t>
  </si>
  <si>
    <t xml:space="preserve">bs_total_liab_total</t>
  </si>
  <si>
    <t xml:space="preserve">TOTAL liabilities — total</t>
  </si>
  <si>
    <t xml:space="preserve">bs_his_net_worth_line</t>
  </si>
  <si>
    <t xml:space="preserve">Net worth (assets - liabilities) — his</t>
  </si>
  <si>
    <t xml:space="preserve">bs_hers_net_worth_line</t>
  </si>
  <si>
    <t xml:space="preserve">Net worth (assets - liabilities) — hers</t>
  </si>
  <si>
    <t xml:space="preserve">bs_joint_net_worth_line</t>
  </si>
  <si>
    <t xml:space="preserve">Net worth (assets - liabilities) — joint</t>
  </si>
  <si>
    <t xml:space="preserve">bs_total_net_worth_line</t>
  </si>
  <si>
    <t xml:space="preserve">Net worth (assets - liabilities) —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</si>
</sst>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_(\$* #,##0.00_);_(\$* \(#,##0.00\);_(\$* \-??_);_(@_)"/>
    <numFmt numFmtId="167" formatCode="_(\$* #,##0_);_(\$* \(#,##0\);_(\$* \-??_);_(@_)"/>
    <numFmt numFmtId="168" formatCode="0.00%"/>
    <numFmt numFmtId="169" formatCode="0"/>
    <numFmt numFmtId="170" formatCode="General"/>
    <numFmt numFmtId="171" formatCode="\$#,##0;&quot;($&quot;#,##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9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18F1A"/>
        <bgColor rgb="FFFF6600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18F1A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2" customFormat="false" ht="36" hidden="false" customHeight="true" outlineLevel="0" collapsed="false">
      <c r="B2" s="2" t="s">
        <v>0</v>
      </c>
    </row>
    <row r="3" customFormat="false" ht="21.75" hidden="false" customHeight="true" outlineLevel="0" collapsed="false"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9.5" hidden="false" customHeight="true" outlineLevel="0" collapsed="false">
      <c r="B6" s="5" t="s">
        <v>3</v>
      </c>
    </row>
    <row r="8" customFormat="false" ht="19.5" hidden="false" customHeight="true" outlineLevel="0" collapsed="false">
      <c r="B8" s="5" t="s">
        <v>4</v>
      </c>
    </row>
    <row r="10" customFormat="false" ht="21.75" hidden="false" customHeight="true" outlineLevel="0" collapsed="false">
      <c r="B10" s="4" t="s">
        <v>5</v>
      </c>
    </row>
    <row r="11" customFormat="false" ht="19.5" hidden="false" customHeight="true" outlineLevel="0" collapsed="false">
      <c r="B11" s="5" t="s">
        <v>6</v>
      </c>
    </row>
    <row r="12" customFormat="false" ht="19.5" hidden="false" customHeight="true" outlineLevel="0" collapsed="false">
      <c r="B12" s="5" t="s">
        <v>7</v>
      </c>
    </row>
    <row r="13" customFormat="false" ht="19.5" hidden="false" customHeight="true" outlineLevel="0" collapsed="false">
      <c r="B13" s="5" t="s">
        <v>8</v>
      </c>
    </row>
    <row r="14" customFormat="false" ht="19.5" hidden="false" customHeight="true" outlineLevel="0" collapsed="false">
      <c r="B14" s="5" t="s">
        <v>9</v>
      </c>
    </row>
    <row r="15" customFormat="false" ht="19.5" hidden="false" customHeight="true" outlineLevel="0" collapsed="false">
      <c r="B15" s="5" t="s">
        <v>10</v>
      </c>
    </row>
    <row r="16" customFormat="false" ht="19.5" hidden="false" customHeight="true" outlineLevel="0" collapsed="false">
      <c r="B16" s="5" t="s">
        <v>11</v>
      </c>
    </row>
    <row r="17" customFormat="false" ht="19.5" hidden="false" customHeight="true" outlineLevel="0" collapsed="false">
      <c r="B17" s="5" t="s">
        <v>12</v>
      </c>
    </row>
    <row r="18" customFormat="false" ht="19.5" hidden="false" customHeight="true" outlineLevel="0" collapsed="false">
      <c r="B18" s="5" t="s">
        <v>13</v>
      </c>
    </row>
    <row r="20" customFormat="false" ht="21.75" hidden="false" customHeight="true" outlineLevel="0" collapsed="false">
      <c r="B20" s="4" t="s">
        <v>14</v>
      </c>
    </row>
    <row r="21" customFormat="false" ht="19.5" hidden="false" customHeight="true" outlineLevel="0" collapsed="false">
      <c r="B21" s="5" t="s">
        <v>15</v>
      </c>
    </row>
    <row r="22" customFormat="false" ht="19.5" hidden="false" customHeight="true" outlineLevel="0" collapsed="false">
      <c r="B22" s="5" t="s">
        <v>16</v>
      </c>
    </row>
    <row r="23" customFormat="false" ht="19.5" hidden="false" customHeight="true" outlineLevel="0" collapsed="false">
      <c r="B23" s="5" t="s">
        <v>17</v>
      </c>
    </row>
    <row r="25" customFormat="false" ht="21.75" hidden="false" customHeight="true" outlineLevel="0" collapsed="false">
      <c r="B25" s="4" t="s">
        <v>18</v>
      </c>
    </row>
    <row r="26" customFormat="false" ht="19.5" hidden="false" customHeight="true" outlineLevel="0" collapsed="false">
      <c r="B26" s="5" t="s">
        <v>19</v>
      </c>
    </row>
    <row r="27" customFormat="false" ht="19.5" hidden="false" customHeight="true" outlineLevel="0" collapsed="false">
      <c r="B27" s="5" t="s">
        <v>20</v>
      </c>
    </row>
    <row r="29" customFormat="false" ht="19.5" hidden="false" customHeight="true" outlineLevel="0" collapsed="false">
      <c r="B29" s="5" t="s">
        <v>21</v>
      </c>
    </row>
    <row r="30" customFormat="false" ht="19.5" hidden="false" customHeight="true" outlineLevel="0" collapsed="false">
      <c r="B3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4"/>
    <col collapsed="false" customWidth="true" hidden="false" outlineLevel="0" max="5" min="5" style="1" width="28"/>
    <col collapsed="false" customWidth="true" hidden="false" outlineLevel="0" max="6" min="6" style="1" width="30"/>
  </cols>
  <sheetData>
    <row r="2" customFormat="false" ht="30" hidden="false" customHeight="true" outlineLevel="0" collapsed="false">
      <c r="B2" s="6" t="s">
        <v>23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24</v>
      </c>
      <c r="C3" s="7"/>
      <c r="D3" s="7"/>
      <c r="E3" s="7"/>
      <c r="F3" s="7"/>
    </row>
    <row r="5" customFormat="false" ht="15" hidden="false" customHeight="true" outlineLevel="0" collapsed="false">
      <c r="B5" s="8" t="s">
        <v>25</v>
      </c>
      <c r="C5" s="8"/>
      <c r="E5" s="8" t="s">
        <v>26</v>
      </c>
      <c r="F5" s="8"/>
    </row>
    <row r="6" customFormat="false" ht="15" hidden="false" customHeight="true" outlineLevel="0" collapsed="false">
      <c r="B6" s="9" t="s">
        <v>27</v>
      </c>
      <c r="C6" s="10" t="s">
        <v>22</v>
      </c>
      <c r="E6" s="9" t="s">
        <v>27</v>
      </c>
      <c r="F6" s="10" t="s">
        <v>28</v>
      </c>
    </row>
    <row r="7" customFormat="false" ht="15" hidden="false" customHeight="true" outlineLevel="0" collapsed="false">
      <c r="B7" s="9" t="s">
        <v>29</v>
      </c>
      <c r="C7" s="10" t="n">
        <v>40</v>
      </c>
      <c r="E7" s="9" t="s">
        <v>29</v>
      </c>
      <c r="F7" s="10" t="n">
        <v>38</v>
      </c>
    </row>
    <row r="8" customFormat="false" ht="15" hidden="false" customHeight="true" outlineLevel="0" collapsed="false">
      <c r="B8" s="9" t="s">
        <v>30</v>
      </c>
      <c r="C8" s="10" t="s">
        <v>31</v>
      </c>
      <c r="E8" s="9" t="s">
        <v>30</v>
      </c>
      <c r="F8" s="10" t="s">
        <v>32</v>
      </c>
    </row>
    <row r="9" customFormat="false" ht="15" hidden="false" customHeight="true" outlineLevel="0" collapsed="false">
      <c r="B9" s="9" t="s">
        <v>33</v>
      </c>
      <c r="C9" s="10" t="s">
        <v>34</v>
      </c>
      <c r="E9" s="9" t="s">
        <v>33</v>
      </c>
      <c r="F9" s="10" t="s">
        <v>34</v>
      </c>
    </row>
    <row r="10" customFormat="false" ht="15" hidden="false" customHeight="true" outlineLevel="0" collapsed="false">
      <c r="B10" s="9" t="s">
        <v>35</v>
      </c>
      <c r="C10" s="10" t="s">
        <v>36</v>
      </c>
      <c r="E10" s="9" t="s">
        <v>35</v>
      </c>
      <c r="F10" s="10" t="s">
        <v>36</v>
      </c>
    </row>
    <row r="11" customFormat="false" ht="15" hidden="false" customHeight="true" outlineLevel="0" collapsed="false">
      <c r="B11" s="9" t="s">
        <v>37</v>
      </c>
      <c r="C11" s="10" t="s">
        <v>38</v>
      </c>
      <c r="E11" s="9" t="s">
        <v>37</v>
      </c>
      <c r="F11" s="10" t="s">
        <v>38</v>
      </c>
    </row>
    <row r="12" customFormat="false" ht="15" hidden="false" customHeight="true" outlineLevel="0" collapsed="false">
      <c r="B12" s="9" t="s">
        <v>39</v>
      </c>
      <c r="C12" s="11" t="n">
        <v>46023</v>
      </c>
      <c r="E12" s="9" t="s">
        <v>39</v>
      </c>
      <c r="F12" s="11" t="n">
        <v>46023</v>
      </c>
    </row>
    <row r="14" customFormat="false" ht="15" hidden="false" customHeight="true" outlineLevel="0" collapsed="false">
      <c r="B14" s="8" t="s">
        <v>40</v>
      </c>
      <c r="C14" s="8"/>
      <c r="D14" s="8"/>
      <c r="E14" s="8"/>
      <c r="F14" s="8"/>
    </row>
    <row r="15" customFormat="false" ht="15" hidden="false" customHeight="true" outlineLevel="0" collapsed="false">
      <c r="B15" s="9" t="s">
        <v>41</v>
      </c>
      <c r="C15" s="12" t="s">
        <v>42</v>
      </c>
      <c r="D15" s="12"/>
      <c r="E15" s="12"/>
      <c r="F15" s="12"/>
    </row>
    <row r="16" customFormat="false" ht="15" hidden="false" customHeight="true" outlineLevel="0" collapsed="false">
      <c r="B16" s="9" t="s">
        <v>43</v>
      </c>
      <c r="C16" s="12" t="s">
        <v>44</v>
      </c>
      <c r="D16" s="12"/>
      <c r="E16" s="12"/>
      <c r="F16" s="12"/>
    </row>
    <row r="17" customFormat="false" ht="15" hidden="false" customHeight="true" outlineLevel="0" collapsed="false">
      <c r="B17" s="9" t="s">
        <v>45</v>
      </c>
      <c r="C17" s="12" t="n">
        <v>0</v>
      </c>
      <c r="D17" s="12"/>
      <c r="E17" s="12"/>
      <c r="F17" s="12"/>
    </row>
    <row r="18" customFormat="false" ht="15" hidden="false" customHeight="true" outlineLevel="0" collapsed="false">
      <c r="B18" s="9" t="s">
        <v>46</v>
      </c>
      <c r="C18" s="12" t="s">
        <v>36</v>
      </c>
      <c r="D18" s="12"/>
      <c r="E18" s="12"/>
      <c r="F18" s="12"/>
    </row>
    <row r="20" customFormat="false" ht="30" hidden="false" customHeight="true" outlineLevel="0" collapsed="false">
      <c r="B20" s="13" t="s">
        <v>47</v>
      </c>
      <c r="C20" s="13"/>
      <c r="D20" s="13"/>
      <c r="E20" s="13"/>
      <c r="F20" s="13"/>
    </row>
  </sheetData>
  <mergeCells count="10">
    <mergeCell ref="B2:F2"/>
    <mergeCell ref="B3:F3"/>
    <mergeCell ref="B5:C5"/>
    <mergeCell ref="E5:F5"/>
    <mergeCell ref="B14:F14"/>
    <mergeCell ref="C15:F15"/>
    <mergeCell ref="C16:F16"/>
    <mergeCell ref="C17:F17"/>
    <mergeCell ref="C18:F18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18"/>
  </cols>
  <sheetData>
    <row r="2" customFormat="false" ht="30" hidden="false" customHeight="true" outlineLevel="0" collapsed="false">
      <c r="B2" s="6" t="s">
        <v>48</v>
      </c>
      <c r="C2" s="6"/>
      <c r="D2" s="6"/>
    </row>
    <row r="3" customFormat="false" ht="19.5" hidden="false" customHeight="true" outlineLevel="0" collapsed="false">
      <c r="B3" s="7" t="s">
        <v>49</v>
      </c>
      <c r="C3" s="7"/>
      <c r="D3" s="7"/>
    </row>
    <row r="5" customFormat="false" ht="21.75" hidden="false" customHeight="true" outlineLevel="0" collapsed="false">
      <c r="B5" s="8" t="s">
        <v>50</v>
      </c>
      <c r="C5" s="8"/>
      <c r="D5" s="8"/>
    </row>
    <row r="6" customFormat="false" ht="15" hidden="false" customHeight="true" outlineLevel="0" collapsed="false">
      <c r="B6" s="14" t="s">
        <v>51</v>
      </c>
      <c r="C6" s="14" t="s">
        <v>52</v>
      </c>
      <c r="D6" s="14" t="s">
        <v>53</v>
      </c>
    </row>
    <row r="7" customFormat="false" ht="21.75" hidden="false" customHeight="true" outlineLevel="0" collapsed="false">
      <c r="B7" s="15" t="s">
        <v>54</v>
      </c>
      <c r="C7" s="16" t="s">
        <v>55</v>
      </c>
      <c r="D7" s="17" t="s">
        <v>56</v>
      </c>
    </row>
    <row r="8" customFormat="false" ht="21.75" hidden="false" customHeight="true" outlineLevel="0" collapsed="false">
      <c r="B8" s="15" t="s">
        <v>57</v>
      </c>
      <c r="C8" s="16" t="s">
        <v>58</v>
      </c>
      <c r="D8" s="17" t="s">
        <v>56</v>
      </c>
    </row>
    <row r="9" customFormat="false" ht="21.75" hidden="false" customHeight="true" outlineLevel="0" collapsed="false">
      <c r="B9" s="15" t="s">
        <v>59</v>
      </c>
      <c r="C9" s="16" t="s">
        <v>60</v>
      </c>
      <c r="D9" s="17" t="s">
        <v>56</v>
      </c>
    </row>
    <row r="10" customFormat="false" ht="21.75" hidden="false" customHeight="true" outlineLevel="0" collapsed="false">
      <c r="B10" s="15" t="s">
        <v>61</v>
      </c>
      <c r="C10" s="16" t="s">
        <v>62</v>
      </c>
      <c r="D10" s="17" t="s">
        <v>56</v>
      </c>
    </row>
    <row r="11" customFormat="false" ht="21.75" hidden="false" customHeight="true" outlineLevel="0" collapsed="false">
      <c r="B11" s="15" t="s">
        <v>63</v>
      </c>
      <c r="C11" s="16" t="s">
        <v>64</v>
      </c>
      <c r="D11" s="17" t="s">
        <v>56</v>
      </c>
    </row>
    <row r="12" customFormat="false" ht="21.75" hidden="false" customHeight="true" outlineLevel="0" collapsed="false">
      <c r="B12" s="15" t="s">
        <v>65</v>
      </c>
      <c r="C12" s="16" t="s">
        <v>66</v>
      </c>
      <c r="D12" s="17" t="s">
        <v>56</v>
      </c>
    </row>
    <row r="13" customFormat="false" ht="21.75" hidden="false" customHeight="true" outlineLevel="0" collapsed="false">
      <c r="B13" s="15" t="s">
        <v>67</v>
      </c>
      <c r="C13" s="16" t="s">
        <v>68</v>
      </c>
      <c r="D13" s="17" t="s">
        <v>56</v>
      </c>
    </row>
    <row r="15" customFormat="false" ht="21.75" hidden="false" customHeight="true" outlineLevel="0" collapsed="false">
      <c r="B15" s="8" t="s">
        <v>69</v>
      </c>
      <c r="C15" s="8"/>
      <c r="D15" s="8"/>
    </row>
    <row r="16" customFormat="false" ht="15" hidden="false" customHeight="true" outlineLevel="0" collapsed="false">
      <c r="B16" s="14" t="s">
        <v>51</v>
      </c>
      <c r="C16" s="14" t="s">
        <v>52</v>
      </c>
      <c r="D16" s="14" t="s">
        <v>53</v>
      </c>
    </row>
    <row r="17" customFormat="false" ht="21.75" hidden="false" customHeight="true" outlineLevel="0" collapsed="false">
      <c r="B17" s="15" t="s">
        <v>70</v>
      </c>
      <c r="C17" s="16" t="s">
        <v>71</v>
      </c>
      <c r="D17" s="17" t="s">
        <v>56</v>
      </c>
    </row>
    <row r="18" customFormat="false" ht="21.75" hidden="false" customHeight="true" outlineLevel="0" collapsed="false">
      <c r="B18" s="15" t="s">
        <v>72</v>
      </c>
      <c r="C18" s="16" t="s">
        <v>73</v>
      </c>
      <c r="D18" s="17" t="s">
        <v>56</v>
      </c>
    </row>
    <row r="19" customFormat="false" ht="21.75" hidden="false" customHeight="true" outlineLevel="0" collapsed="false">
      <c r="B19" s="15" t="s">
        <v>74</v>
      </c>
      <c r="C19" s="16" t="s">
        <v>75</v>
      </c>
      <c r="D19" s="17" t="s">
        <v>56</v>
      </c>
    </row>
    <row r="20" customFormat="false" ht="21.75" hidden="false" customHeight="true" outlineLevel="0" collapsed="false">
      <c r="B20" s="15" t="s">
        <v>76</v>
      </c>
      <c r="C20" s="16" t="s">
        <v>77</v>
      </c>
      <c r="D20" s="17" t="s">
        <v>56</v>
      </c>
    </row>
    <row r="21" customFormat="false" ht="21.75" hidden="false" customHeight="true" outlineLevel="0" collapsed="false">
      <c r="B21" s="15" t="s">
        <v>78</v>
      </c>
      <c r="C21" s="16" t="s">
        <v>79</v>
      </c>
      <c r="D21" s="17" t="s">
        <v>56</v>
      </c>
    </row>
    <row r="22" customFormat="false" ht="21.75" hidden="false" customHeight="true" outlineLevel="0" collapsed="false">
      <c r="B22" s="15" t="s">
        <v>80</v>
      </c>
      <c r="C22" s="16" t="s">
        <v>81</v>
      </c>
      <c r="D22" s="17" t="s">
        <v>56</v>
      </c>
    </row>
    <row r="23" customFormat="false" ht="21.75" hidden="false" customHeight="true" outlineLevel="0" collapsed="false">
      <c r="B23" s="15" t="s">
        <v>82</v>
      </c>
      <c r="C23" s="16" t="s">
        <v>83</v>
      </c>
      <c r="D23" s="17" t="s">
        <v>56</v>
      </c>
    </row>
    <row r="24" customFormat="false" ht="21.75" hidden="false" customHeight="true" outlineLevel="0" collapsed="false">
      <c r="B24" s="15" t="s">
        <v>84</v>
      </c>
      <c r="C24" s="16" t="s">
        <v>85</v>
      </c>
      <c r="D24" s="17" t="s">
        <v>56</v>
      </c>
    </row>
    <row r="25" customFormat="false" ht="21.75" hidden="false" customHeight="true" outlineLevel="0" collapsed="false">
      <c r="B25" s="15" t="s">
        <v>86</v>
      </c>
      <c r="C25" s="16" t="s">
        <v>87</v>
      </c>
      <c r="D25" s="17" t="s">
        <v>56</v>
      </c>
    </row>
    <row r="26" customFormat="false" ht="21.75" hidden="false" customHeight="true" outlineLevel="0" collapsed="false">
      <c r="B26" s="15" t="s">
        <v>88</v>
      </c>
      <c r="C26" s="16" t="s">
        <v>89</v>
      </c>
      <c r="D26" s="17" t="s">
        <v>56</v>
      </c>
    </row>
    <row r="27" customFormat="false" ht="21.75" hidden="false" customHeight="true" outlineLevel="0" collapsed="false">
      <c r="B27" s="15" t="s">
        <v>90</v>
      </c>
      <c r="C27" s="16" t="s">
        <v>91</v>
      </c>
      <c r="D27" s="17" t="s">
        <v>56</v>
      </c>
    </row>
    <row r="28" customFormat="false" ht="21.75" hidden="false" customHeight="true" outlineLevel="0" collapsed="false">
      <c r="B28" s="15" t="s">
        <v>92</v>
      </c>
      <c r="C28" s="16" t="s">
        <v>93</v>
      </c>
      <c r="D28" s="17" t="s">
        <v>56</v>
      </c>
    </row>
    <row r="29" customFormat="false" ht="21.75" hidden="false" customHeight="true" outlineLevel="0" collapsed="false">
      <c r="B29" s="15" t="s">
        <v>94</v>
      </c>
      <c r="C29" s="16" t="s">
        <v>95</v>
      </c>
      <c r="D29" s="17" t="s">
        <v>56</v>
      </c>
    </row>
    <row r="30" customFormat="false" ht="21.75" hidden="false" customHeight="true" outlineLevel="0" collapsed="false">
      <c r="B30" s="15" t="s">
        <v>96</v>
      </c>
      <c r="C30" s="16" t="s">
        <v>97</v>
      </c>
      <c r="D30" s="17" t="s">
        <v>56</v>
      </c>
    </row>
    <row r="31" customFormat="false" ht="21.75" hidden="false" customHeight="true" outlineLevel="0" collapsed="false">
      <c r="B31" s="15" t="s">
        <v>98</v>
      </c>
      <c r="C31" s="16" t="s">
        <v>68</v>
      </c>
      <c r="D31" s="17" t="s">
        <v>56</v>
      </c>
    </row>
    <row r="33" customFormat="false" ht="21.75" hidden="false" customHeight="true" outlineLevel="0" collapsed="false">
      <c r="B33" s="8" t="s">
        <v>99</v>
      </c>
      <c r="C33" s="8"/>
      <c r="D33" s="8"/>
    </row>
    <row r="34" customFormat="false" ht="15" hidden="false" customHeight="true" outlineLevel="0" collapsed="false">
      <c r="B34" s="14" t="s">
        <v>51</v>
      </c>
      <c r="C34" s="14" t="s">
        <v>52</v>
      </c>
      <c r="D34" s="14" t="s">
        <v>53</v>
      </c>
    </row>
    <row r="35" customFormat="false" ht="21.75" hidden="false" customHeight="true" outlineLevel="0" collapsed="false">
      <c r="B35" s="15" t="s">
        <v>100</v>
      </c>
      <c r="C35" s="16" t="s">
        <v>101</v>
      </c>
      <c r="D35" s="17" t="s">
        <v>56</v>
      </c>
    </row>
    <row r="36" customFormat="false" ht="21.75" hidden="false" customHeight="true" outlineLevel="0" collapsed="false">
      <c r="B36" s="15" t="s">
        <v>102</v>
      </c>
      <c r="C36" s="16" t="s">
        <v>103</v>
      </c>
      <c r="D36" s="17" t="s">
        <v>56</v>
      </c>
    </row>
    <row r="37" customFormat="false" ht="21.75" hidden="false" customHeight="true" outlineLevel="0" collapsed="false">
      <c r="B37" s="15" t="s">
        <v>104</v>
      </c>
      <c r="C37" s="16" t="s">
        <v>105</v>
      </c>
      <c r="D37" s="17" t="s">
        <v>56</v>
      </c>
    </row>
    <row r="38" customFormat="false" ht="21.75" hidden="false" customHeight="true" outlineLevel="0" collapsed="false">
      <c r="B38" s="15" t="s">
        <v>106</v>
      </c>
      <c r="C38" s="16" t="s">
        <v>107</v>
      </c>
      <c r="D38" s="17" t="s">
        <v>56</v>
      </c>
    </row>
    <row r="39" customFormat="false" ht="21.75" hidden="false" customHeight="true" outlineLevel="0" collapsed="false">
      <c r="B39" s="15" t="s">
        <v>108</v>
      </c>
      <c r="C39" s="16" t="s">
        <v>109</v>
      </c>
      <c r="D39" s="17" t="s">
        <v>56</v>
      </c>
    </row>
    <row r="40" customFormat="false" ht="21.75" hidden="false" customHeight="true" outlineLevel="0" collapsed="false">
      <c r="B40" s="15" t="s">
        <v>110</v>
      </c>
      <c r="C40" s="16" t="s">
        <v>111</v>
      </c>
      <c r="D40" s="17" t="s">
        <v>56</v>
      </c>
    </row>
    <row r="41" customFormat="false" ht="21.75" hidden="false" customHeight="true" outlineLevel="0" collapsed="false">
      <c r="B41" s="15" t="s">
        <v>112</v>
      </c>
      <c r="C41" s="16" t="s">
        <v>113</v>
      </c>
      <c r="D41" s="17" t="s">
        <v>56</v>
      </c>
    </row>
    <row r="43" customFormat="false" ht="21.75" hidden="false" customHeight="true" outlineLevel="0" collapsed="false">
      <c r="B43" s="8" t="s">
        <v>114</v>
      </c>
      <c r="C43" s="8"/>
      <c r="D43" s="8"/>
    </row>
    <row r="44" customFormat="false" ht="15" hidden="false" customHeight="true" outlineLevel="0" collapsed="false">
      <c r="B44" s="14" t="s">
        <v>51</v>
      </c>
      <c r="C44" s="14" t="s">
        <v>52</v>
      </c>
      <c r="D44" s="14" t="s">
        <v>53</v>
      </c>
    </row>
    <row r="45" customFormat="false" ht="21.75" hidden="false" customHeight="true" outlineLevel="0" collapsed="false">
      <c r="B45" s="15" t="s">
        <v>115</v>
      </c>
      <c r="C45" s="16" t="s">
        <v>116</v>
      </c>
      <c r="D45" s="17" t="s">
        <v>56</v>
      </c>
    </row>
    <row r="46" customFormat="false" ht="21.75" hidden="false" customHeight="true" outlineLevel="0" collapsed="false">
      <c r="B46" s="15" t="s">
        <v>117</v>
      </c>
      <c r="C46" s="16" t="s">
        <v>118</v>
      </c>
      <c r="D46" s="17" t="s">
        <v>56</v>
      </c>
    </row>
    <row r="47" customFormat="false" ht="21.75" hidden="false" customHeight="true" outlineLevel="0" collapsed="false">
      <c r="B47" s="15" t="s">
        <v>119</v>
      </c>
      <c r="C47" s="16" t="s">
        <v>120</v>
      </c>
      <c r="D47" s="17" t="s">
        <v>56</v>
      </c>
    </row>
    <row r="48" customFormat="false" ht="21.75" hidden="false" customHeight="true" outlineLevel="0" collapsed="false">
      <c r="B48" s="15" t="s">
        <v>121</v>
      </c>
      <c r="C48" s="16" t="s">
        <v>122</v>
      </c>
      <c r="D48" s="17" t="s">
        <v>56</v>
      </c>
    </row>
    <row r="49" customFormat="false" ht="21.75" hidden="false" customHeight="true" outlineLevel="0" collapsed="false">
      <c r="B49" s="15" t="s">
        <v>123</v>
      </c>
      <c r="C49" s="16" t="s">
        <v>124</v>
      </c>
      <c r="D49" s="17" t="s">
        <v>56</v>
      </c>
    </row>
    <row r="50" customFormat="false" ht="21.75" hidden="false" customHeight="true" outlineLevel="0" collapsed="false">
      <c r="B50" s="15" t="s">
        <v>125</v>
      </c>
      <c r="C50" s="16" t="s">
        <v>126</v>
      </c>
      <c r="D50" s="17" t="s">
        <v>56</v>
      </c>
    </row>
    <row r="51" customFormat="false" ht="21.75" hidden="false" customHeight="true" outlineLevel="0" collapsed="false">
      <c r="B51" s="15" t="s">
        <v>127</v>
      </c>
      <c r="C51" s="16" t="s">
        <v>128</v>
      </c>
      <c r="D51" s="17" t="s">
        <v>56</v>
      </c>
    </row>
  </sheetData>
  <mergeCells count="6">
    <mergeCell ref="B2:D2"/>
    <mergeCell ref="B3:D3"/>
    <mergeCell ref="B5:D5"/>
    <mergeCell ref="B15:D15"/>
    <mergeCell ref="B33:D33"/>
    <mergeCell ref="B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30"/>
  </cols>
  <sheetData>
    <row r="2" customFormat="false" ht="30" hidden="false" customHeight="true" outlineLevel="0" collapsed="false">
      <c r="B2" s="6" t="s">
        <v>129</v>
      </c>
      <c r="C2" s="6"/>
      <c r="D2" s="6"/>
      <c r="E2" s="6"/>
      <c r="F2" s="6"/>
      <c r="G2" s="6"/>
      <c r="H2" s="6"/>
    </row>
    <row r="3" customFormat="false" ht="19.5" hidden="false" customHeight="true" outlineLevel="0" collapsed="false">
      <c r="B3" s="7" t="s">
        <v>130</v>
      </c>
      <c r="C3" s="7"/>
      <c r="D3" s="7"/>
      <c r="E3" s="7"/>
      <c r="F3" s="7"/>
      <c r="G3" s="7"/>
      <c r="H3" s="7"/>
    </row>
    <row r="5" customFormat="false" ht="24" hidden="false" customHeight="true" outlineLevel="0" collapsed="false">
      <c r="B5" s="14" t="s">
        <v>131</v>
      </c>
      <c r="C5" s="14" t="s">
        <v>132</v>
      </c>
      <c r="D5" s="14" t="s">
        <v>133</v>
      </c>
      <c r="E5" s="14" t="s">
        <v>134</v>
      </c>
      <c r="F5" s="14" t="s">
        <v>135</v>
      </c>
      <c r="G5" s="14" t="s">
        <v>136</v>
      </c>
      <c r="H5" s="14" t="s">
        <v>137</v>
      </c>
    </row>
    <row r="6" customFormat="false" ht="15" hidden="false" customHeight="true" outlineLevel="0" collapsed="false">
      <c r="B6" s="11" t="n">
        <v>46027</v>
      </c>
      <c r="C6" s="18" t="n">
        <v>6500</v>
      </c>
      <c r="D6" s="10" t="s">
        <v>138</v>
      </c>
      <c r="E6" s="10" t="s">
        <v>139</v>
      </c>
      <c r="F6" s="10" t="s">
        <v>54</v>
      </c>
      <c r="G6" s="19" t="str">
        <f aca="false">IF(B6="","",TEXT(B6,"YYYY-MM"))</f>
        <v>2026-01</v>
      </c>
      <c r="H6" s="10" t="s">
        <v>140</v>
      </c>
    </row>
    <row r="7" customFormat="false" ht="15" hidden="false" customHeight="true" outlineLevel="0" collapsed="false">
      <c r="B7" s="11" t="n">
        <v>46027</v>
      </c>
      <c r="C7" s="18" t="n">
        <v>2400</v>
      </c>
      <c r="D7" s="10" t="s">
        <v>141</v>
      </c>
      <c r="E7" s="10" t="s">
        <v>142</v>
      </c>
      <c r="F7" s="10" t="s">
        <v>54</v>
      </c>
      <c r="G7" s="19" t="str">
        <f aca="false">IF(B7="","",TEXT(B7,"YYYY-MM"))</f>
        <v>2026-01</v>
      </c>
      <c r="H7" s="10" t="s">
        <v>143</v>
      </c>
    </row>
    <row r="8" customFormat="false" ht="15" hidden="false" customHeight="true" outlineLevel="0" collapsed="false">
      <c r="B8" s="11" t="n">
        <v>46037</v>
      </c>
      <c r="C8" s="18" t="n">
        <v>1200</v>
      </c>
      <c r="D8" s="10" t="s">
        <v>56</v>
      </c>
      <c r="E8" s="10" t="s">
        <v>144</v>
      </c>
      <c r="F8" s="10" t="s">
        <v>59</v>
      </c>
      <c r="G8" s="19" t="str">
        <f aca="false">IF(B8="","",TEXT(B8,"YYYY-MM"))</f>
        <v>2026-01</v>
      </c>
      <c r="H8" s="10" t="s">
        <v>145</v>
      </c>
    </row>
    <row r="9" customFormat="false" ht="15" hidden="false" customHeight="true" outlineLevel="0" collapsed="false">
      <c r="B9" s="11" t="n">
        <v>46041</v>
      </c>
      <c r="C9" s="18" t="n">
        <v>6500</v>
      </c>
      <c r="D9" s="10" t="s">
        <v>138</v>
      </c>
      <c r="E9" s="10" t="s">
        <v>139</v>
      </c>
      <c r="F9" s="10" t="s">
        <v>54</v>
      </c>
      <c r="G9" s="19" t="str">
        <f aca="false">IF(B9="","",TEXT(B9,"YYYY-MM"))</f>
        <v>2026-01</v>
      </c>
      <c r="H9" s="10" t="s">
        <v>140</v>
      </c>
    </row>
    <row r="10" customFormat="false" ht="15" hidden="false" customHeight="true" outlineLevel="0" collapsed="false">
      <c r="B10" s="11" t="n">
        <v>46050</v>
      </c>
      <c r="C10" s="18" t="n">
        <v>450</v>
      </c>
      <c r="D10" s="10" t="s">
        <v>141</v>
      </c>
      <c r="E10" s="10" t="s">
        <v>146</v>
      </c>
      <c r="F10" s="10" t="s">
        <v>61</v>
      </c>
      <c r="G10" s="19" t="str">
        <f aca="false">IF(B10="","",TEXT(B10,"YYYY-MM"))</f>
        <v>2026-01</v>
      </c>
      <c r="H10" s="10" t="s">
        <v>147</v>
      </c>
    </row>
    <row r="11" customFormat="false" ht="15" hidden="false" customHeight="true" outlineLevel="0" collapsed="false">
      <c r="B11" s="11"/>
      <c r="C11" s="18"/>
      <c r="D11" s="10"/>
      <c r="E11" s="10"/>
      <c r="F11" s="10"/>
      <c r="G11" s="19" t="str">
        <f aca="false">IF(B11="","",TEXT(B11,"YYYY-MM"))</f>
        <v/>
      </c>
      <c r="H11" s="10"/>
    </row>
    <row r="12" customFormat="false" ht="15" hidden="false" customHeight="true" outlineLevel="0" collapsed="false">
      <c r="B12" s="11"/>
      <c r="C12" s="18"/>
      <c r="D12" s="10"/>
      <c r="E12" s="10"/>
      <c r="F12" s="10"/>
      <c r="G12" s="19" t="str">
        <f aca="false">IF(B12="","",TEXT(B12,"YYYY-MM"))</f>
        <v/>
      </c>
      <c r="H12" s="10"/>
    </row>
    <row r="13" customFormat="false" ht="15" hidden="false" customHeight="true" outlineLevel="0" collapsed="false">
      <c r="B13" s="11"/>
      <c r="C13" s="18"/>
      <c r="D13" s="10"/>
      <c r="E13" s="10"/>
      <c r="F13" s="10"/>
      <c r="G13" s="19" t="str">
        <f aca="false">IF(B13="","",TEXT(B13,"YYYY-MM"))</f>
        <v/>
      </c>
      <c r="H13" s="10"/>
    </row>
    <row r="14" customFormat="false" ht="15" hidden="false" customHeight="true" outlineLevel="0" collapsed="false">
      <c r="B14" s="11"/>
      <c r="C14" s="18"/>
      <c r="D14" s="10"/>
      <c r="E14" s="10"/>
      <c r="F14" s="10"/>
      <c r="G14" s="19" t="str">
        <f aca="false">IF(B14="","",TEXT(B14,"YYYY-MM"))</f>
        <v/>
      </c>
      <c r="H14" s="10"/>
    </row>
    <row r="15" customFormat="false" ht="15" hidden="false" customHeight="true" outlineLevel="0" collapsed="false">
      <c r="B15" s="11"/>
      <c r="C15" s="18"/>
      <c r="D15" s="10"/>
      <c r="E15" s="10"/>
      <c r="F15" s="10"/>
      <c r="G15" s="19" t="str">
        <f aca="false">IF(B15="","",TEXT(B15,"YYYY-MM"))</f>
        <v/>
      </c>
      <c r="H15" s="10"/>
    </row>
    <row r="16" customFormat="false" ht="15" hidden="false" customHeight="true" outlineLevel="0" collapsed="false">
      <c r="B16" s="11"/>
      <c r="C16" s="18"/>
      <c r="D16" s="10"/>
      <c r="E16" s="10"/>
      <c r="F16" s="10"/>
      <c r="G16" s="19" t="str">
        <f aca="false">IF(B16="","",TEXT(B16,"YYYY-MM"))</f>
        <v/>
      </c>
      <c r="H16" s="10"/>
    </row>
    <row r="17" customFormat="false" ht="15" hidden="false" customHeight="true" outlineLevel="0" collapsed="false">
      <c r="B17" s="11"/>
      <c r="C17" s="18"/>
      <c r="D17" s="10"/>
      <c r="E17" s="10"/>
      <c r="F17" s="10"/>
      <c r="G17" s="19" t="str">
        <f aca="false">IF(B17="","",TEXT(B17,"YYYY-MM"))</f>
        <v/>
      </c>
      <c r="H17" s="10"/>
    </row>
    <row r="18" customFormat="false" ht="15" hidden="false" customHeight="true" outlineLevel="0" collapsed="false">
      <c r="B18" s="11"/>
      <c r="C18" s="18"/>
      <c r="D18" s="10"/>
      <c r="E18" s="10"/>
      <c r="F18" s="10"/>
      <c r="G18" s="19" t="str">
        <f aca="false">IF(B18="","",TEXT(B18,"YYYY-MM"))</f>
        <v/>
      </c>
      <c r="H18" s="10"/>
    </row>
    <row r="19" customFormat="false" ht="15" hidden="false" customHeight="true" outlineLevel="0" collapsed="false">
      <c r="B19" s="11"/>
      <c r="C19" s="18"/>
      <c r="D19" s="10"/>
      <c r="E19" s="10"/>
      <c r="F19" s="10"/>
      <c r="G19" s="19" t="str">
        <f aca="false">IF(B19="","",TEXT(B19,"YYYY-MM"))</f>
        <v/>
      </c>
      <c r="H19" s="10"/>
    </row>
    <row r="20" customFormat="false" ht="15" hidden="false" customHeight="true" outlineLevel="0" collapsed="false">
      <c r="B20" s="11"/>
      <c r="C20" s="18"/>
      <c r="D20" s="10"/>
      <c r="E20" s="10"/>
      <c r="F20" s="10"/>
      <c r="G20" s="19" t="str">
        <f aca="false">IF(B20="","",TEXT(B20,"YYYY-MM"))</f>
        <v/>
      </c>
      <c r="H20" s="10"/>
    </row>
    <row r="21" customFormat="false" ht="15" hidden="false" customHeight="true" outlineLevel="0" collapsed="false">
      <c r="B21" s="11"/>
      <c r="C21" s="18"/>
      <c r="D21" s="10"/>
      <c r="E21" s="10"/>
      <c r="F21" s="10"/>
      <c r="G21" s="19" t="str">
        <f aca="false">IF(B21="","",TEXT(B21,"YYYY-MM"))</f>
        <v/>
      </c>
      <c r="H21" s="10"/>
    </row>
    <row r="22" customFormat="false" ht="15" hidden="false" customHeight="true" outlineLevel="0" collapsed="false">
      <c r="B22" s="11"/>
      <c r="C22" s="18"/>
      <c r="D22" s="10"/>
      <c r="E22" s="10"/>
      <c r="F22" s="10"/>
      <c r="G22" s="19" t="str">
        <f aca="false">IF(B22="","",TEXT(B22,"YYYY-MM"))</f>
        <v/>
      </c>
      <c r="H22" s="10"/>
    </row>
    <row r="23" customFormat="false" ht="15" hidden="false" customHeight="true" outlineLevel="0" collapsed="false">
      <c r="B23" s="11"/>
      <c r="C23" s="18"/>
      <c r="D23" s="10"/>
      <c r="E23" s="10"/>
      <c r="F23" s="10"/>
      <c r="G23" s="19" t="str">
        <f aca="false">IF(B23="","",TEXT(B23,"YYYY-MM"))</f>
        <v/>
      </c>
      <c r="H23" s="10"/>
    </row>
    <row r="24" customFormat="false" ht="15" hidden="false" customHeight="true" outlineLevel="0" collapsed="false">
      <c r="B24" s="11"/>
      <c r="C24" s="18"/>
      <c r="D24" s="10"/>
      <c r="E24" s="10"/>
      <c r="F24" s="10"/>
      <c r="G24" s="19" t="str">
        <f aca="false">IF(B24="","",TEXT(B24,"YYYY-MM"))</f>
        <v/>
      </c>
      <c r="H24" s="10"/>
    </row>
    <row r="25" customFormat="false" ht="15" hidden="false" customHeight="true" outlineLevel="0" collapsed="false">
      <c r="B25" s="11"/>
      <c r="C25" s="18"/>
      <c r="D25" s="10"/>
      <c r="E25" s="10"/>
      <c r="F25" s="10"/>
      <c r="G25" s="19" t="str">
        <f aca="false">IF(B25="","",TEXT(B25,"YYYY-MM"))</f>
        <v/>
      </c>
      <c r="H25" s="10"/>
    </row>
    <row r="26" customFormat="false" ht="15" hidden="false" customHeight="true" outlineLevel="0" collapsed="false">
      <c r="B26" s="11"/>
      <c r="C26" s="18"/>
      <c r="D26" s="10"/>
      <c r="E26" s="10"/>
      <c r="F26" s="10"/>
      <c r="G26" s="19" t="str">
        <f aca="false">IF(B26="","",TEXT(B26,"YYYY-MM"))</f>
        <v/>
      </c>
      <c r="H26" s="10"/>
    </row>
    <row r="27" customFormat="false" ht="15" hidden="false" customHeight="true" outlineLevel="0" collapsed="false">
      <c r="B27" s="11"/>
      <c r="C27" s="18"/>
      <c r="D27" s="10"/>
      <c r="E27" s="10"/>
      <c r="F27" s="10"/>
      <c r="G27" s="19" t="str">
        <f aca="false">IF(B27="","",TEXT(B27,"YYYY-MM"))</f>
        <v/>
      </c>
      <c r="H27" s="10"/>
    </row>
    <row r="28" customFormat="false" ht="15" hidden="false" customHeight="true" outlineLevel="0" collapsed="false">
      <c r="B28" s="11"/>
      <c r="C28" s="18"/>
      <c r="D28" s="10"/>
      <c r="E28" s="10"/>
      <c r="F28" s="10"/>
      <c r="G28" s="19" t="str">
        <f aca="false">IF(B28="","",TEXT(B28,"YYYY-MM"))</f>
        <v/>
      </c>
      <c r="H28" s="10"/>
    </row>
    <row r="29" customFormat="false" ht="15" hidden="false" customHeight="true" outlineLevel="0" collapsed="false">
      <c r="B29" s="11"/>
      <c r="C29" s="18"/>
      <c r="D29" s="10"/>
      <c r="E29" s="10"/>
      <c r="F29" s="10"/>
      <c r="G29" s="19" t="str">
        <f aca="false">IF(B29="","",TEXT(B29,"YYYY-MM"))</f>
        <v/>
      </c>
      <c r="H29" s="10"/>
    </row>
    <row r="30" customFormat="false" ht="15" hidden="false" customHeight="true" outlineLevel="0" collapsed="false">
      <c r="B30" s="11"/>
      <c r="C30" s="18"/>
      <c r="D30" s="10"/>
      <c r="E30" s="10"/>
      <c r="F30" s="10"/>
      <c r="G30" s="19" t="str">
        <f aca="false">IF(B30="","",TEXT(B30,"YYYY-MM"))</f>
        <v/>
      </c>
      <c r="H30" s="10"/>
    </row>
    <row r="31" customFormat="false" ht="15" hidden="false" customHeight="true" outlineLevel="0" collapsed="false">
      <c r="B31" s="11"/>
      <c r="C31" s="18"/>
      <c r="D31" s="10"/>
      <c r="E31" s="10"/>
      <c r="F31" s="10"/>
      <c r="G31" s="19" t="str">
        <f aca="false">IF(B31="","",TEXT(B31,"YYYY-MM"))</f>
        <v/>
      </c>
      <c r="H31" s="10"/>
    </row>
    <row r="32" customFormat="false" ht="15" hidden="false" customHeight="true" outlineLevel="0" collapsed="false">
      <c r="B32" s="11"/>
      <c r="C32" s="18"/>
      <c r="D32" s="10"/>
      <c r="E32" s="10"/>
      <c r="F32" s="10"/>
      <c r="G32" s="19" t="str">
        <f aca="false">IF(B32="","",TEXT(B32,"YYYY-MM"))</f>
        <v/>
      </c>
      <c r="H32" s="10"/>
    </row>
    <row r="33" customFormat="false" ht="15" hidden="false" customHeight="true" outlineLevel="0" collapsed="false">
      <c r="B33" s="11"/>
      <c r="C33" s="18"/>
      <c r="D33" s="10"/>
      <c r="E33" s="10"/>
      <c r="F33" s="10"/>
      <c r="G33" s="19" t="str">
        <f aca="false">IF(B33="","",TEXT(B33,"YYYY-MM"))</f>
        <v/>
      </c>
      <c r="H33" s="10"/>
    </row>
    <row r="34" customFormat="false" ht="15" hidden="false" customHeight="true" outlineLevel="0" collapsed="false">
      <c r="B34" s="11"/>
      <c r="C34" s="18"/>
      <c r="D34" s="10"/>
      <c r="E34" s="10"/>
      <c r="F34" s="10"/>
      <c r="G34" s="19" t="str">
        <f aca="false">IF(B34="","",TEXT(B34,"YYYY-MM"))</f>
        <v/>
      </c>
      <c r="H34" s="10"/>
    </row>
    <row r="35" customFormat="false" ht="15" hidden="false" customHeight="true" outlineLevel="0" collapsed="false">
      <c r="B35" s="11"/>
      <c r="C35" s="18"/>
      <c r="D35" s="10"/>
      <c r="E35" s="10"/>
      <c r="F35" s="10"/>
      <c r="G35" s="19" t="str">
        <f aca="false">IF(B35="","",TEXT(B35,"YYYY-MM"))</f>
        <v/>
      </c>
      <c r="H35" s="10"/>
    </row>
    <row r="36" customFormat="false" ht="15" hidden="false" customHeight="true" outlineLevel="0" collapsed="false">
      <c r="B36" s="11"/>
      <c r="C36" s="18"/>
      <c r="D36" s="10"/>
      <c r="E36" s="10"/>
      <c r="F36" s="10"/>
      <c r="G36" s="19" t="str">
        <f aca="false">IF(B36="","",TEXT(B36,"YYYY-MM"))</f>
        <v/>
      </c>
      <c r="H36" s="10"/>
    </row>
    <row r="37" customFormat="false" ht="15" hidden="false" customHeight="true" outlineLevel="0" collapsed="false">
      <c r="B37" s="11"/>
      <c r="C37" s="18"/>
      <c r="D37" s="10"/>
      <c r="E37" s="10"/>
      <c r="F37" s="10"/>
      <c r="G37" s="19" t="str">
        <f aca="false">IF(B37="","",TEXT(B37,"YYYY-MM"))</f>
        <v/>
      </c>
      <c r="H37" s="10"/>
    </row>
    <row r="38" customFormat="false" ht="15" hidden="false" customHeight="true" outlineLevel="0" collapsed="false">
      <c r="B38" s="11"/>
      <c r="C38" s="18"/>
      <c r="D38" s="10"/>
      <c r="E38" s="10"/>
      <c r="F38" s="10"/>
      <c r="G38" s="19" t="str">
        <f aca="false">IF(B38="","",TEXT(B38,"YYYY-MM"))</f>
        <v/>
      </c>
      <c r="H38" s="10"/>
    </row>
    <row r="39" customFormat="false" ht="15" hidden="false" customHeight="true" outlineLevel="0" collapsed="false">
      <c r="B39" s="11"/>
      <c r="C39" s="18"/>
      <c r="D39" s="10"/>
      <c r="E39" s="10"/>
      <c r="F39" s="10"/>
      <c r="G39" s="19" t="str">
        <f aca="false">IF(B39="","",TEXT(B39,"YYYY-MM"))</f>
        <v/>
      </c>
      <c r="H39" s="10"/>
    </row>
    <row r="40" customFormat="false" ht="15" hidden="false" customHeight="true" outlineLevel="0" collapsed="false">
      <c r="B40" s="11"/>
      <c r="C40" s="18"/>
      <c r="D40" s="10"/>
      <c r="E40" s="10"/>
      <c r="F40" s="10"/>
      <c r="G40" s="19" t="str">
        <f aca="false">IF(B40="","",TEXT(B40,"YYYY-MM"))</f>
        <v/>
      </c>
      <c r="H40" s="10"/>
    </row>
    <row r="41" customFormat="false" ht="15" hidden="false" customHeight="true" outlineLevel="0" collapsed="false">
      <c r="B41" s="11"/>
      <c r="C41" s="18"/>
      <c r="D41" s="10"/>
      <c r="E41" s="10"/>
      <c r="F41" s="10"/>
      <c r="G41" s="19" t="str">
        <f aca="false">IF(B41="","",TEXT(B41,"YYYY-MM"))</f>
        <v/>
      </c>
      <c r="H41" s="10"/>
    </row>
    <row r="42" customFormat="false" ht="15" hidden="false" customHeight="true" outlineLevel="0" collapsed="false">
      <c r="B42" s="11"/>
      <c r="C42" s="18"/>
      <c r="D42" s="10"/>
      <c r="E42" s="10"/>
      <c r="F42" s="10"/>
      <c r="G42" s="19" t="str">
        <f aca="false">IF(B42="","",TEXT(B42,"YYYY-MM"))</f>
        <v/>
      </c>
      <c r="H42" s="10"/>
    </row>
    <row r="43" customFormat="false" ht="15" hidden="false" customHeight="true" outlineLevel="0" collapsed="false">
      <c r="B43" s="11"/>
      <c r="C43" s="18"/>
      <c r="D43" s="10"/>
      <c r="E43" s="10"/>
      <c r="F43" s="10"/>
      <c r="G43" s="19" t="str">
        <f aca="false">IF(B43="","",TEXT(B43,"YYYY-MM"))</f>
        <v/>
      </c>
      <c r="H43" s="10"/>
    </row>
    <row r="44" customFormat="false" ht="15" hidden="false" customHeight="true" outlineLevel="0" collapsed="false">
      <c r="B44" s="11"/>
      <c r="C44" s="18"/>
      <c r="D44" s="10"/>
      <c r="E44" s="10"/>
      <c r="F44" s="10"/>
      <c r="G44" s="19" t="str">
        <f aca="false">IF(B44="","",TEXT(B44,"YYYY-MM"))</f>
        <v/>
      </c>
      <c r="H44" s="10"/>
    </row>
    <row r="45" customFormat="false" ht="15" hidden="false" customHeight="true" outlineLevel="0" collapsed="false">
      <c r="B45" s="11"/>
      <c r="C45" s="18"/>
      <c r="D45" s="10"/>
      <c r="E45" s="10"/>
      <c r="F45" s="10"/>
      <c r="G45" s="19" t="str">
        <f aca="false">IF(B45="","",TEXT(B45,"YYYY-MM"))</f>
        <v/>
      </c>
      <c r="H45" s="10"/>
    </row>
    <row r="46" customFormat="false" ht="15" hidden="false" customHeight="true" outlineLevel="0" collapsed="false">
      <c r="B46" s="11"/>
      <c r="C46" s="18"/>
      <c r="D46" s="10"/>
      <c r="E46" s="10"/>
      <c r="F46" s="10"/>
      <c r="G46" s="19" t="str">
        <f aca="false">IF(B46="","",TEXT(B46,"YYYY-MM"))</f>
        <v/>
      </c>
      <c r="H46" s="10"/>
    </row>
    <row r="47" customFormat="false" ht="15" hidden="false" customHeight="true" outlineLevel="0" collapsed="false">
      <c r="B47" s="11"/>
      <c r="C47" s="18"/>
      <c r="D47" s="10"/>
      <c r="E47" s="10"/>
      <c r="F47" s="10"/>
      <c r="G47" s="19" t="str">
        <f aca="false">IF(B47="","",TEXT(B47,"YYYY-MM"))</f>
        <v/>
      </c>
      <c r="H47" s="10"/>
    </row>
    <row r="48" customFormat="false" ht="15" hidden="false" customHeight="true" outlineLevel="0" collapsed="false">
      <c r="B48" s="11"/>
      <c r="C48" s="18"/>
      <c r="D48" s="10"/>
      <c r="E48" s="10"/>
      <c r="F48" s="10"/>
      <c r="G48" s="19" t="str">
        <f aca="false">IF(B48="","",TEXT(B48,"YYYY-MM"))</f>
        <v/>
      </c>
      <c r="H48" s="10"/>
    </row>
    <row r="49" customFormat="false" ht="15" hidden="false" customHeight="true" outlineLevel="0" collapsed="false">
      <c r="B49" s="11"/>
      <c r="C49" s="18"/>
      <c r="D49" s="10"/>
      <c r="E49" s="10"/>
      <c r="F49" s="10"/>
      <c r="G49" s="19" t="str">
        <f aca="false">IF(B49="","",TEXT(B49,"YYYY-MM"))</f>
        <v/>
      </c>
      <c r="H49" s="10"/>
    </row>
    <row r="50" customFormat="false" ht="15" hidden="false" customHeight="true" outlineLevel="0" collapsed="false">
      <c r="B50" s="11"/>
      <c r="C50" s="18"/>
      <c r="D50" s="10"/>
      <c r="E50" s="10"/>
      <c r="F50" s="10"/>
      <c r="G50" s="19" t="str">
        <f aca="false">IF(B50="","",TEXT(B50,"YYYY-MM"))</f>
        <v/>
      </c>
      <c r="H50" s="10"/>
    </row>
    <row r="51" customFormat="false" ht="15" hidden="false" customHeight="true" outlineLevel="0" collapsed="false">
      <c r="B51" s="11"/>
      <c r="C51" s="18"/>
      <c r="D51" s="10"/>
      <c r="E51" s="10"/>
      <c r="F51" s="10"/>
      <c r="G51" s="19" t="str">
        <f aca="false">IF(B51="","",TEXT(B51,"YYYY-MM"))</f>
        <v/>
      </c>
      <c r="H51" s="10"/>
    </row>
    <row r="52" customFormat="false" ht="15" hidden="false" customHeight="true" outlineLevel="0" collapsed="false">
      <c r="B52" s="11"/>
      <c r="C52" s="18"/>
      <c r="D52" s="10"/>
      <c r="E52" s="10"/>
      <c r="F52" s="10"/>
      <c r="G52" s="19" t="str">
        <f aca="false">IF(B52="","",TEXT(B52,"YYYY-MM"))</f>
        <v/>
      </c>
      <c r="H52" s="10"/>
    </row>
    <row r="53" customFormat="false" ht="15" hidden="false" customHeight="true" outlineLevel="0" collapsed="false">
      <c r="B53" s="11"/>
      <c r="C53" s="18"/>
      <c r="D53" s="10"/>
      <c r="E53" s="10"/>
      <c r="F53" s="10"/>
      <c r="G53" s="19" t="str">
        <f aca="false">IF(B53="","",TEXT(B53,"YYYY-MM"))</f>
        <v/>
      </c>
      <c r="H53" s="10"/>
    </row>
    <row r="54" customFormat="false" ht="15" hidden="false" customHeight="true" outlineLevel="0" collapsed="false">
      <c r="B54" s="11"/>
      <c r="C54" s="18"/>
      <c r="D54" s="10"/>
      <c r="E54" s="10"/>
      <c r="F54" s="10"/>
      <c r="G54" s="19" t="str">
        <f aca="false">IF(B54="","",TEXT(B54,"YYYY-MM"))</f>
        <v/>
      </c>
      <c r="H54" s="10"/>
    </row>
    <row r="55" customFormat="false" ht="15" hidden="false" customHeight="true" outlineLevel="0" collapsed="false">
      <c r="B55" s="11"/>
      <c r="C55" s="18"/>
      <c r="D55" s="10"/>
      <c r="E55" s="10"/>
      <c r="F55" s="10"/>
      <c r="G55" s="19" t="str">
        <f aca="false">IF(B55="","",TEXT(B55,"YYYY-MM"))</f>
        <v/>
      </c>
      <c r="H55" s="10"/>
    </row>
    <row r="56" customFormat="false" ht="15" hidden="false" customHeight="true" outlineLevel="0" collapsed="false">
      <c r="B56" s="11"/>
      <c r="C56" s="18"/>
      <c r="D56" s="10"/>
      <c r="E56" s="10"/>
      <c r="F56" s="10"/>
      <c r="G56" s="19" t="str">
        <f aca="false">IF(B56="","",TEXT(B56,"YYYY-MM"))</f>
        <v/>
      </c>
      <c r="H56" s="10"/>
    </row>
    <row r="57" customFormat="false" ht="15" hidden="false" customHeight="true" outlineLevel="0" collapsed="false">
      <c r="B57" s="11"/>
      <c r="C57" s="18"/>
      <c r="D57" s="10"/>
      <c r="E57" s="10"/>
      <c r="F57" s="10"/>
      <c r="G57" s="19" t="str">
        <f aca="false">IF(B57="","",TEXT(B57,"YYYY-MM"))</f>
        <v/>
      </c>
      <c r="H57" s="10"/>
    </row>
    <row r="58" customFormat="false" ht="15" hidden="false" customHeight="true" outlineLevel="0" collapsed="false">
      <c r="B58" s="11"/>
      <c r="C58" s="18"/>
      <c r="D58" s="10"/>
      <c r="E58" s="10"/>
      <c r="F58" s="10"/>
      <c r="G58" s="19" t="str">
        <f aca="false">IF(B58="","",TEXT(B58,"YYYY-MM"))</f>
        <v/>
      </c>
      <c r="H58" s="10"/>
    </row>
    <row r="59" customFormat="false" ht="15" hidden="false" customHeight="true" outlineLevel="0" collapsed="false">
      <c r="B59" s="11"/>
      <c r="C59" s="18"/>
      <c r="D59" s="10"/>
      <c r="E59" s="10"/>
      <c r="F59" s="10"/>
      <c r="G59" s="19" t="str">
        <f aca="false">IF(B59="","",TEXT(B59,"YYYY-MM"))</f>
        <v/>
      </c>
      <c r="H59" s="10"/>
    </row>
    <row r="60" customFormat="false" ht="15" hidden="false" customHeight="true" outlineLevel="0" collapsed="false">
      <c r="B60" s="11"/>
      <c r="C60" s="18"/>
      <c r="D60" s="10"/>
      <c r="E60" s="10"/>
      <c r="F60" s="10"/>
      <c r="G60" s="19" t="str">
        <f aca="false">IF(B60="","",TEXT(B60,"YYYY-MM"))</f>
        <v/>
      </c>
      <c r="H60" s="10"/>
    </row>
    <row r="61" customFormat="false" ht="15" hidden="false" customHeight="true" outlineLevel="0" collapsed="false">
      <c r="B61" s="11"/>
      <c r="C61" s="18"/>
      <c r="D61" s="10"/>
      <c r="E61" s="10"/>
      <c r="F61" s="10"/>
      <c r="G61" s="19" t="str">
        <f aca="false">IF(B61="","",TEXT(B61,"YYYY-MM"))</f>
        <v/>
      </c>
      <c r="H61" s="10"/>
    </row>
    <row r="62" customFormat="false" ht="15" hidden="false" customHeight="true" outlineLevel="0" collapsed="false">
      <c r="B62" s="11"/>
      <c r="C62" s="18"/>
      <c r="D62" s="10"/>
      <c r="E62" s="10"/>
      <c r="F62" s="10"/>
      <c r="G62" s="19" t="str">
        <f aca="false">IF(B62="","",TEXT(B62,"YYYY-MM"))</f>
        <v/>
      </c>
      <c r="H62" s="10"/>
    </row>
    <row r="63" customFormat="false" ht="15" hidden="false" customHeight="true" outlineLevel="0" collapsed="false">
      <c r="B63" s="11"/>
      <c r="C63" s="18"/>
      <c r="D63" s="10"/>
      <c r="E63" s="10"/>
      <c r="F63" s="10"/>
      <c r="G63" s="19" t="str">
        <f aca="false">IF(B63="","",TEXT(B63,"YYYY-MM"))</f>
        <v/>
      </c>
      <c r="H63" s="10"/>
    </row>
    <row r="64" customFormat="false" ht="15" hidden="false" customHeight="true" outlineLevel="0" collapsed="false">
      <c r="B64" s="11"/>
      <c r="C64" s="18"/>
      <c r="D64" s="10"/>
      <c r="E64" s="10"/>
      <c r="F64" s="10"/>
      <c r="G64" s="19" t="str">
        <f aca="false">IF(B64="","",TEXT(B64,"YYYY-MM"))</f>
        <v/>
      </c>
      <c r="H64" s="10"/>
    </row>
    <row r="65" customFormat="false" ht="15" hidden="false" customHeight="true" outlineLevel="0" collapsed="false">
      <c r="B65" s="11"/>
      <c r="C65" s="18"/>
      <c r="D65" s="10"/>
      <c r="E65" s="10"/>
      <c r="F65" s="10"/>
      <c r="G65" s="19" t="str">
        <f aca="false">IF(B65="","",TEXT(B65,"YYYY-MM"))</f>
        <v/>
      </c>
      <c r="H65" s="10"/>
    </row>
    <row r="66" customFormat="false" ht="15" hidden="false" customHeight="true" outlineLevel="0" collapsed="false">
      <c r="B66" s="11"/>
      <c r="C66" s="18"/>
      <c r="D66" s="10"/>
      <c r="E66" s="10"/>
      <c r="F66" s="10"/>
      <c r="G66" s="19" t="str">
        <f aca="false">IF(B66="","",TEXT(B66,"YYYY-MM"))</f>
        <v/>
      </c>
      <c r="H66" s="10"/>
    </row>
    <row r="67" customFormat="false" ht="15" hidden="false" customHeight="true" outlineLevel="0" collapsed="false">
      <c r="B67" s="11"/>
      <c r="C67" s="18"/>
      <c r="D67" s="10"/>
      <c r="E67" s="10"/>
      <c r="F67" s="10"/>
      <c r="G67" s="19" t="str">
        <f aca="false">IF(B67="","",TEXT(B67,"YYYY-MM"))</f>
        <v/>
      </c>
      <c r="H67" s="10"/>
    </row>
    <row r="68" customFormat="false" ht="15" hidden="false" customHeight="true" outlineLevel="0" collapsed="false">
      <c r="B68" s="11"/>
      <c r="C68" s="18"/>
      <c r="D68" s="10"/>
      <c r="E68" s="10"/>
      <c r="F68" s="10"/>
      <c r="G68" s="19" t="str">
        <f aca="false">IF(B68="","",TEXT(B68,"YYYY-MM"))</f>
        <v/>
      </c>
      <c r="H68" s="10"/>
    </row>
    <row r="69" customFormat="false" ht="15" hidden="false" customHeight="true" outlineLevel="0" collapsed="false">
      <c r="B69" s="11"/>
      <c r="C69" s="18"/>
      <c r="D69" s="10"/>
      <c r="E69" s="10"/>
      <c r="F69" s="10"/>
      <c r="G69" s="19" t="str">
        <f aca="false">IF(B69="","",TEXT(B69,"YYYY-MM"))</f>
        <v/>
      </c>
      <c r="H69" s="10"/>
    </row>
    <row r="70" customFormat="false" ht="15" hidden="false" customHeight="true" outlineLevel="0" collapsed="false">
      <c r="B70" s="11"/>
      <c r="C70" s="18"/>
      <c r="D70" s="10"/>
      <c r="E70" s="10"/>
      <c r="F70" s="10"/>
      <c r="G70" s="19" t="str">
        <f aca="false">IF(B70="","",TEXT(B70,"YYYY-MM"))</f>
        <v/>
      </c>
      <c r="H70" s="10"/>
    </row>
    <row r="71" customFormat="false" ht="15" hidden="false" customHeight="true" outlineLevel="0" collapsed="false">
      <c r="B71" s="11"/>
      <c r="C71" s="18"/>
      <c r="D71" s="10"/>
      <c r="E71" s="10"/>
      <c r="F71" s="10"/>
      <c r="G71" s="19" t="str">
        <f aca="false">IF(B71="","",TEXT(B71,"YYYY-MM"))</f>
        <v/>
      </c>
      <c r="H71" s="10"/>
    </row>
    <row r="72" customFormat="false" ht="15" hidden="false" customHeight="true" outlineLevel="0" collapsed="false">
      <c r="B72" s="11"/>
      <c r="C72" s="18"/>
      <c r="D72" s="10"/>
      <c r="E72" s="10"/>
      <c r="F72" s="10"/>
      <c r="G72" s="19" t="str">
        <f aca="false">IF(B72="","",TEXT(B72,"YYYY-MM"))</f>
        <v/>
      </c>
      <c r="H72" s="10"/>
    </row>
    <row r="73" customFormat="false" ht="15" hidden="false" customHeight="true" outlineLevel="0" collapsed="false">
      <c r="B73" s="11"/>
      <c r="C73" s="18"/>
      <c r="D73" s="10"/>
      <c r="E73" s="10"/>
      <c r="F73" s="10"/>
      <c r="G73" s="19" t="str">
        <f aca="false">IF(B73="","",TEXT(B73,"YYYY-MM"))</f>
        <v/>
      </c>
      <c r="H73" s="10"/>
    </row>
    <row r="74" customFormat="false" ht="15" hidden="false" customHeight="true" outlineLevel="0" collapsed="false">
      <c r="B74" s="11"/>
      <c r="C74" s="18"/>
      <c r="D74" s="10"/>
      <c r="E74" s="10"/>
      <c r="F74" s="10"/>
      <c r="G74" s="19" t="str">
        <f aca="false">IF(B74="","",TEXT(B74,"YYYY-MM"))</f>
        <v/>
      </c>
      <c r="H74" s="10"/>
    </row>
    <row r="75" customFormat="false" ht="15" hidden="false" customHeight="true" outlineLevel="0" collapsed="false">
      <c r="B75" s="11"/>
      <c r="C75" s="18"/>
      <c r="D75" s="10"/>
      <c r="E75" s="10"/>
      <c r="F75" s="10"/>
      <c r="G75" s="19" t="str">
        <f aca="false">IF(B75="","",TEXT(B75,"YYYY-MM"))</f>
        <v/>
      </c>
      <c r="H75" s="10"/>
    </row>
    <row r="76" customFormat="false" ht="15" hidden="false" customHeight="true" outlineLevel="0" collapsed="false">
      <c r="B76" s="11"/>
      <c r="C76" s="18"/>
      <c r="D76" s="10"/>
      <c r="E76" s="10"/>
      <c r="F76" s="10"/>
      <c r="G76" s="19" t="str">
        <f aca="false">IF(B76="","",TEXT(B76,"YYYY-MM"))</f>
        <v/>
      </c>
      <c r="H76" s="10"/>
    </row>
    <row r="77" customFormat="false" ht="15" hidden="false" customHeight="true" outlineLevel="0" collapsed="false">
      <c r="B77" s="11"/>
      <c r="C77" s="18"/>
      <c r="D77" s="10"/>
      <c r="E77" s="10"/>
      <c r="F77" s="10"/>
      <c r="G77" s="19" t="str">
        <f aca="false">IF(B77="","",TEXT(B77,"YYYY-MM"))</f>
        <v/>
      </c>
      <c r="H77" s="10"/>
    </row>
    <row r="78" customFormat="false" ht="15" hidden="false" customHeight="true" outlineLevel="0" collapsed="false">
      <c r="B78" s="11"/>
      <c r="C78" s="18"/>
      <c r="D78" s="10"/>
      <c r="E78" s="10"/>
      <c r="F78" s="10"/>
      <c r="G78" s="19" t="str">
        <f aca="false">IF(B78="","",TEXT(B78,"YYYY-MM"))</f>
        <v/>
      </c>
      <c r="H78" s="10"/>
    </row>
    <row r="79" customFormat="false" ht="15" hidden="false" customHeight="true" outlineLevel="0" collapsed="false">
      <c r="B79" s="11"/>
      <c r="C79" s="18"/>
      <c r="D79" s="10"/>
      <c r="E79" s="10"/>
      <c r="F79" s="10"/>
      <c r="G79" s="19" t="str">
        <f aca="false">IF(B79="","",TEXT(B79,"YYYY-MM"))</f>
        <v/>
      </c>
      <c r="H79" s="10"/>
    </row>
    <row r="80" customFormat="false" ht="15" hidden="false" customHeight="true" outlineLevel="0" collapsed="false">
      <c r="B80" s="11"/>
      <c r="C80" s="18"/>
      <c r="D80" s="10"/>
      <c r="E80" s="10"/>
      <c r="F80" s="10"/>
      <c r="G80" s="19" t="str">
        <f aca="false">IF(B80="","",TEXT(B80,"YYYY-MM"))</f>
        <v/>
      </c>
      <c r="H80" s="10"/>
    </row>
    <row r="81" customFormat="false" ht="15" hidden="false" customHeight="true" outlineLevel="0" collapsed="false">
      <c r="B81" s="11"/>
      <c r="C81" s="18"/>
      <c r="D81" s="10"/>
      <c r="E81" s="10"/>
      <c r="F81" s="10"/>
      <c r="G81" s="19" t="str">
        <f aca="false">IF(B81="","",TEXT(B81,"YYYY-MM"))</f>
        <v/>
      </c>
      <c r="H81" s="10"/>
    </row>
    <row r="82" customFormat="false" ht="15" hidden="false" customHeight="true" outlineLevel="0" collapsed="false">
      <c r="B82" s="11"/>
      <c r="C82" s="18"/>
      <c r="D82" s="10"/>
      <c r="E82" s="10"/>
      <c r="F82" s="10"/>
      <c r="G82" s="19" t="str">
        <f aca="false">IF(B82="","",TEXT(B82,"YYYY-MM"))</f>
        <v/>
      </c>
      <c r="H82" s="10"/>
    </row>
    <row r="83" customFormat="false" ht="15" hidden="false" customHeight="true" outlineLevel="0" collapsed="false">
      <c r="B83" s="11"/>
      <c r="C83" s="18"/>
      <c r="D83" s="10"/>
      <c r="E83" s="10"/>
      <c r="F83" s="10"/>
      <c r="G83" s="19" t="str">
        <f aca="false">IF(B83="","",TEXT(B83,"YYYY-MM"))</f>
        <v/>
      </c>
      <c r="H83" s="10"/>
    </row>
    <row r="84" customFormat="false" ht="15" hidden="false" customHeight="true" outlineLevel="0" collapsed="false">
      <c r="B84" s="11"/>
      <c r="C84" s="18"/>
      <c r="D84" s="10"/>
      <c r="E84" s="10"/>
      <c r="F84" s="10"/>
      <c r="G84" s="19" t="str">
        <f aca="false">IF(B84="","",TEXT(B84,"YYYY-MM"))</f>
        <v/>
      </c>
      <c r="H84" s="10"/>
    </row>
    <row r="85" customFormat="false" ht="15" hidden="false" customHeight="true" outlineLevel="0" collapsed="false">
      <c r="B85" s="11"/>
      <c r="C85" s="18"/>
      <c r="D85" s="10"/>
      <c r="E85" s="10"/>
      <c r="F85" s="10"/>
      <c r="G85" s="19" t="str">
        <f aca="false">IF(B85="","",TEXT(B85,"YYYY-MM"))</f>
        <v/>
      </c>
      <c r="H85" s="10"/>
    </row>
    <row r="86" customFormat="false" ht="15" hidden="false" customHeight="true" outlineLevel="0" collapsed="false">
      <c r="B86" s="11"/>
      <c r="C86" s="18"/>
      <c r="D86" s="10"/>
      <c r="E86" s="10"/>
      <c r="F86" s="10"/>
      <c r="G86" s="19" t="str">
        <f aca="false">IF(B86="","",TEXT(B86,"YYYY-MM"))</f>
        <v/>
      </c>
      <c r="H86" s="10"/>
    </row>
    <row r="87" customFormat="false" ht="15" hidden="false" customHeight="true" outlineLevel="0" collapsed="false">
      <c r="B87" s="11"/>
      <c r="C87" s="18"/>
      <c r="D87" s="10"/>
      <c r="E87" s="10"/>
      <c r="F87" s="10"/>
      <c r="G87" s="19" t="str">
        <f aca="false">IF(B87="","",TEXT(B87,"YYYY-MM"))</f>
        <v/>
      </c>
      <c r="H87" s="10"/>
    </row>
    <row r="88" customFormat="false" ht="15" hidden="false" customHeight="true" outlineLevel="0" collapsed="false">
      <c r="B88" s="11"/>
      <c r="C88" s="18"/>
      <c r="D88" s="10"/>
      <c r="E88" s="10"/>
      <c r="F88" s="10"/>
      <c r="G88" s="19" t="str">
        <f aca="false">IF(B88="","",TEXT(B88,"YYYY-MM"))</f>
        <v/>
      </c>
      <c r="H88" s="10"/>
    </row>
    <row r="89" customFormat="false" ht="15" hidden="false" customHeight="true" outlineLevel="0" collapsed="false">
      <c r="B89" s="11"/>
      <c r="C89" s="18"/>
      <c r="D89" s="10"/>
      <c r="E89" s="10"/>
      <c r="F89" s="10"/>
      <c r="G89" s="19" t="str">
        <f aca="false">IF(B89="","",TEXT(B89,"YYYY-MM"))</f>
        <v/>
      </c>
      <c r="H89" s="10"/>
    </row>
    <row r="90" customFormat="false" ht="15" hidden="false" customHeight="true" outlineLevel="0" collapsed="false">
      <c r="B90" s="11"/>
      <c r="C90" s="18"/>
      <c r="D90" s="10"/>
      <c r="E90" s="10"/>
      <c r="F90" s="10"/>
      <c r="G90" s="19" t="str">
        <f aca="false">IF(B90="","",TEXT(B90,"YYYY-MM"))</f>
        <v/>
      </c>
      <c r="H90" s="10"/>
    </row>
    <row r="91" customFormat="false" ht="15" hidden="false" customHeight="true" outlineLevel="0" collapsed="false">
      <c r="B91" s="11"/>
      <c r="C91" s="18"/>
      <c r="D91" s="10"/>
      <c r="E91" s="10"/>
      <c r="F91" s="10"/>
      <c r="G91" s="19" t="str">
        <f aca="false">IF(B91="","",TEXT(B91,"YYYY-MM"))</f>
        <v/>
      </c>
      <c r="H91" s="10"/>
    </row>
    <row r="92" customFormat="false" ht="15" hidden="false" customHeight="true" outlineLevel="0" collapsed="false">
      <c r="B92" s="11"/>
      <c r="C92" s="18"/>
      <c r="D92" s="10"/>
      <c r="E92" s="10"/>
      <c r="F92" s="10"/>
      <c r="G92" s="19" t="str">
        <f aca="false">IF(B92="","",TEXT(B92,"YYYY-MM"))</f>
        <v/>
      </c>
      <c r="H92" s="10"/>
    </row>
    <row r="93" customFormat="false" ht="15" hidden="false" customHeight="true" outlineLevel="0" collapsed="false">
      <c r="B93" s="11"/>
      <c r="C93" s="18"/>
      <c r="D93" s="10"/>
      <c r="E93" s="10"/>
      <c r="F93" s="10"/>
      <c r="G93" s="19" t="str">
        <f aca="false">IF(B93="","",TEXT(B93,"YYYY-MM"))</f>
        <v/>
      </c>
      <c r="H93" s="10"/>
    </row>
    <row r="94" customFormat="false" ht="15" hidden="false" customHeight="true" outlineLevel="0" collapsed="false">
      <c r="B94" s="11"/>
      <c r="C94" s="18"/>
      <c r="D94" s="10"/>
      <c r="E94" s="10"/>
      <c r="F94" s="10"/>
      <c r="G94" s="19" t="str">
        <f aca="false">IF(B94="","",TEXT(B94,"YYYY-MM"))</f>
        <v/>
      </c>
      <c r="H94" s="10"/>
    </row>
    <row r="95" customFormat="false" ht="15" hidden="false" customHeight="true" outlineLevel="0" collapsed="false">
      <c r="B95" s="11"/>
      <c r="C95" s="18"/>
      <c r="D95" s="10"/>
      <c r="E95" s="10"/>
      <c r="F95" s="10"/>
      <c r="G95" s="19" t="str">
        <f aca="false">IF(B95="","",TEXT(B95,"YYYY-MM"))</f>
        <v/>
      </c>
      <c r="H95" s="10"/>
    </row>
    <row r="96" customFormat="false" ht="15" hidden="false" customHeight="true" outlineLevel="0" collapsed="false">
      <c r="B96" s="11"/>
      <c r="C96" s="18"/>
      <c r="D96" s="10"/>
      <c r="E96" s="10"/>
      <c r="F96" s="10"/>
      <c r="G96" s="19" t="str">
        <f aca="false">IF(B96="","",TEXT(B96,"YYYY-MM"))</f>
        <v/>
      </c>
      <c r="H96" s="10"/>
    </row>
    <row r="97" customFormat="false" ht="15" hidden="false" customHeight="true" outlineLevel="0" collapsed="false">
      <c r="B97" s="11"/>
      <c r="C97" s="18"/>
      <c r="D97" s="10"/>
      <c r="E97" s="10"/>
      <c r="F97" s="10"/>
      <c r="G97" s="19" t="str">
        <f aca="false">IF(B97="","",TEXT(B97,"YYYY-MM"))</f>
        <v/>
      </c>
      <c r="H97" s="10"/>
    </row>
    <row r="98" customFormat="false" ht="15" hidden="false" customHeight="true" outlineLevel="0" collapsed="false">
      <c r="B98" s="11"/>
      <c r="C98" s="18"/>
      <c r="D98" s="10"/>
      <c r="E98" s="10"/>
      <c r="F98" s="10"/>
      <c r="G98" s="19" t="str">
        <f aca="false">IF(B98="","",TEXT(B98,"YYYY-MM"))</f>
        <v/>
      </c>
      <c r="H98" s="10"/>
    </row>
    <row r="99" customFormat="false" ht="15" hidden="false" customHeight="true" outlineLevel="0" collapsed="false">
      <c r="B99" s="11"/>
      <c r="C99" s="18"/>
      <c r="D99" s="10"/>
      <c r="E99" s="10"/>
      <c r="F99" s="10"/>
      <c r="G99" s="19" t="str">
        <f aca="false">IF(B99="","",TEXT(B99,"YYYY-MM"))</f>
        <v/>
      </c>
      <c r="H99" s="10"/>
    </row>
    <row r="100" customFormat="false" ht="15" hidden="false" customHeight="true" outlineLevel="0" collapsed="false">
      <c r="B100" s="11"/>
      <c r="C100" s="18"/>
      <c r="D100" s="10"/>
      <c r="E100" s="10"/>
      <c r="F100" s="10"/>
      <c r="G100" s="19" t="str">
        <f aca="false">IF(B100="","",TEXT(B100,"YYYY-MM"))</f>
        <v/>
      </c>
      <c r="H100" s="10"/>
    </row>
    <row r="101" customFormat="false" ht="15" hidden="false" customHeight="true" outlineLevel="0" collapsed="false">
      <c r="B101" s="11"/>
      <c r="C101" s="18"/>
      <c r="D101" s="10"/>
      <c r="E101" s="10"/>
      <c r="F101" s="10"/>
      <c r="G101" s="19" t="str">
        <f aca="false">IF(B101="","",TEXT(B101,"YYYY-MM"))</f>
        <v/>
      </c>
      <c r="H101" s="10"/>
    </row>
    <row r="102" customFormat="false" ht="15" hidden="false" customHeight="true" outlineLevel="0" collapsed="false">
      <c r="B102" s="11"/>
      <c r="C102" s="18"/>
      <c r="D102" s="10"/>
      <c r="E102" s="10"/>
      <c r="F102" s="10"/>
      <c r="G102" s="19" t="str">
        <f aca="false">IF(B102="","",TEXT(B102,"YYYY-MM"))</f>
        <v/>
      </c>
      <c r="H102" s="10"/>
    </row>
    <row r="103" customFormat="false" ht="15" hidden="false" customHeight="true" outlineLevel="0" collapsed="false">
      <c r="B103" s="11"/>
      <c r="C103" s="18"/>
      <c r="D103" s="10"/>
      <c r="E103" s="10"/>
      <c r="F103" s="10"/>
      <c r="G103" s="19" t="str">
        <f aca="false">IF(B103="","",TEXT(B103,"YYYY-MM"))</f>
        <v/>
      </c>
      <c r="H103" s="10"/>
    </row>
    <row r="104" customFormat="false" ht="15" hidden="false" customHeight="true" outlineLevel="0" collapsed="false">
      <c r="B104" s="11"/>
      <c r="C104" s="18"/>
      <c r="D104" s="10"/>
      <c r="E104" s="10"/>
      <c r="F104" s="10"/>
      <c r="G104" s="19" t="str">
        <f aca="false">IF(B104="","",TEXT(B104,"YYYY-MM"))</f>
        <v/>
      </c>
      <c r="H104" s="10"/>
    </row>
    <row r="105" customFormat="false" ht="15" hidden="false" customHeight="true" outlineLevel="0" collapsed="false">
      <c r="B105" s="11"/>
      <c r="C105" s="18"/>
      <c r="D105" s="10"/>
      <c r="E105" s="10"/>
      <c r="F105" s="10"/>
      <c r="G105" s="19" t="str">
        <f aca="false">IF(B105="","",TEXT(B105,"YYYY-MM"))</f>
        <v/>
      </c>
      <c r="H105" s="10"/>
    </row>
    <row r="106" customFormat="false" ht="15" hidden="false" customHeight="true" outlineLevel="0" collapsed="false">
      <c r="B106" s="11"/>
      <c r="C106" s="18"/>
      <c r="D106" s="10"/>
      <c r="E106" s="10"/>
      <c r="F106" s="10"/>
      <c r="G106" s="19" t="str">
        <f aca="false">IF(B106="","",TEXT(B106,"YYYY-MM"))</f>
        <v/>
      </c>
      <c r="H106" s="10"/>
    </row>
    <row r="107" customFormat="false" ht="15" hidden="false" customHeight="true" outlineLevel="0" collapsed="false">
      <c r="B107" s="11"/>
      <c r="C107" s="18"/>
      <c r="D107" s="10"/>
      <c r="E107" s="10"/>
      <c r="F107" s="10"/>
      <c r="G107" s="19" t="str">
        <f aca="false">IF(B107="","",TEXT(B107,"YYYY-MM"))</f>
        <v/>
      </c>
      <c r="H107" s="10"/>
    </row>
    <row r="108" customFormat="false" ht="15" hidden="false" customHeight="true" outlineLevel="0" collapsed="false">
      <c r="B108" s="11"/>
      <c r="C108" s="18"/>
      <c r="D108" s="10"/>
      <c r="E108" s="10"/>
      <c r="F108" s="10"/>
      <c r="G108" s="19" t="str">
        <f aca="false">IF(B108="","",TEXT(B108,"YYYY-MM"))</f>
        <v/>
      </c>
      <c r="H108" s="10"/>
    </row>
    <row r="109" customFormat="false" ht="15" hidden="false" customHeight="true" outlineLevel="0" collapsed="false">
      <c r="B109" s="11"/>
      <c r="C109" s="18"/>
      <c r="D109" s="10"/>
      <c r="E109" s="10"/>
      <c r="F109" s="10"/>
      <c r="G109" s="19" t="str">
        <f aca="false">IF(B109="","",TEXT(B109,"YYYY-MM"))</f>
        <v/>
      </c>
      <c r="H109" s="10"/>
    </row>
    <row r="110" customFormat="false" ht="15" hidden="false" customHeight="true" outlineLevel="0" collapsed="false">
      <c r="B110" s="11"/>
      <c r="C110" s="18"/>
      <c r="D110" s="10"/>
      <c r="E110" s="10"/>
      <c r="F110" s="10"/>
      <c r="G110" s="19" t="str">
        <f aca="false">IF(B110="","",TEXT(B110,"YYYY-MM"))</f>
        <v/>
      </c>
      <c r="H110" s="10"/>
    </row>
    <row r="111" customFormat="false" ht="15" hidden="false" customHeight="true" outlineLevel="0" collapsed="false">
      <c r="B111" s="11"/>
      <c r="C111" s="18"/>
      <c r="D111" s="10"/>
      <c r="E111" s="10"/>
      <c r="F111" s="10"/>
      <c r="G111" s="19" t="str">
        <f aca="false">IF(B111="","",TEXT(B111,"YYYY-MM"))</f>
        <v/>
      </c>
      <c r="H111" s="10"/>
    </row>
    <row r="112" customFormat="false" ht="15" hidden="false" customHeight="true" outlineLevel="0" collapsed="false">
      <c r="B112" s="11"/>
      <c r="C112" s="18"/>
      <c r="D112" s="10"/>
      <c r="E112" s="10"/>
      <c r="F112" s="10"/>
      <c r="G112" s="19" t="str">
        <f aca="false">IF(B112="","",TEXT(B112,"YYYY-MM"))</f>
        <v/>
      </c>
      <c r="H112" s="10"/>
    </row>
    <row r="113" customFormat="false" ht="15" hidden="false" customHeight="true" outlineLevel="0" collapsed="false">
      <c r="B113" s="11"/>
      <c r="C113" s="18"/>
      <c r="D113" s="10"/>
      <c r="E113" s="10"/>
      <c r="F113" s="10"/>
      <c r="G113" s="19" t="str">
        <f aca="false">IF(B113="","",TEXT(B113,"YYYY-MM"))</f>
        <v/>
      </c>
      <c r="H113" s="10"/>
    </row>
    <row r="114" customFormat="false" ht="15" hidden="false" customHeight="true" outlineLevel="0" collapsed="false">
      <c r="B114" s="11"/>
      <c r="C114" s="18"/>
      <c r="D114" s="10"/>
      <c r="E114" s="10"/>
      <c r="F114" s="10"/>
      <c r="G114" s="19" t="str">
        <f aca="false">IF(B114="","",TEXT(B114,"YYYY-MM"))</f>
        <v/>
      </c>
      <c r="H114" s="10"/>
    </row>
    <row r="115" customFormat="false" ht="15" hidden="false" customHeight="true" outlineLevel="0" collapsed="false">
      <c r="B115" s="11"/>
      <c r="C115" s="18"/>
      <c r="D115" s="10"/>
      <c r="E115" s="10"/>
      <c r="F115" s="10"/>
      <c r="G115" s="19" t="str">
        <f aca="false">IF(B115="","",TEXT(B115,"YYYY-MM"))</f>
        <v/>
      </c>
      <c r="H115" s="10"/>
    </row>
    <row r="116" customFormat="false" ht="15" hidden="false" customHeight="true" outlineLevel="0" collapsed="false">
      <c r="B116" s="11"/>
      <c r="C116" s="18"/>
      <c r="D116" s="10"/>
      <c r="E116" s="10"/>
      <c r="F116" s="10"/>
      <c r="G116" s="19" t="str">
        <f aca="false">IF(B116="","",TEXT(B116,"YYYY-MM"))</f>
        <v/>
      </c>
      <c r="H116" s="10"/>
    </row>
    <row r="117" customFormat="false" ht="15" hidden="false" customHeight="true" outlineLevel="0" collapsed="false">
      <c r="B117" s="11"/>
      <c r="C117" s="18"/>
      <c r="D117" s="10"/>
      <c r="E117" s="10"/>
      <c r="F117" s="10"/>
      <c r="G117" s="19" t="str">
        <f aca="false">IF(B117="","",TEXT(B117,"YYYY-MM"))</f>
        <v/>
      </c>
      <c r="H117" s="10"/>
    </row>
    <row r="118" customFormat="false" ht="15" hidden="false" customHeight="true" outlineLevel="0" collapsed="false">
      <c r="B118" s="11"/>
      <c r="C118" s="18"/>
      <c r="D118" s="10"/>
      <c r="E118" s="10"/>
      <c r="F118" s="10"/>
      <c r="G118" s="19" t="str">
        <f aca="false">IF(B118="","",TEXT(B118,"YYYY-MM"))</f>
        <v/>
      </c>
      <c r="H118" s="10"/>
    </row>
    <row r="119" customFormat="false" ht="15" hidden="false" customHeight="true" outlineLevel="0" collapsed="false">
      <c r="B119" s="11"/>
      <c r="C119" s="18"/>
      <c r="D119" s="10"/>
      <c r="E119" s="10"/>
      <c r="F119" s="10"/>
      <c r="G119" s="19" t="str">
        <f aca="false">IF(B119="","",TEXT(B119,"YYYY-MM"))</f>
        <v/>
      </c>
      <c r="H119" s="10"/>
    </row>
    <row r="120" customFormat="false" ht="15" hidden="false" customHeight="true" outlineLevel="0" collapsed="false">
      <c r="B120" s="11"/>
      <c r="C120" s="18"/>
      <c r="D120" s="10"/>
      <c r="E120" s="10"/>
      <c r="F120" s="10"/>
      <c r="G120" s="19" t="str">
        <f aca="false">IF(B120="","",TEXT(B120,"YYYY-MM"))</f>
        <v/>
      </c>
      <c r="H120" s="10"/>
    </row>
    <row r="121" customFormat="false" ht="15" hidden="false" customHeight="true" outlineLevel="0" collapsed="false">
      <c r="B121" s="11"/>
      <c r="C121" s="18"/>
      <c r="D121" s="10"/>
      <c r="E121" s="10"/>
      <c r="F121" s="10"/>
      <c r="G121" s="19" t="str">
        <f aca="false">IF(B121="","",TEXT(B121,"YYYY-MM"))</f>
        <v/>
      </c>
      <c r="H121" s="10"/>
    </row>
    <row r="122" customFormat="false" ht="15" hidden="false" customHeight="true" outlineLevel="0" collapsed="false">
      <c r="B122" s="11"/>
      <c r="C122" s="18"/>
      <c r="D122" s="10"/>
      <c r="E122" s="10"/>
      <c r="F122" s="10"/>
      <c r="G122" s="19" t="str">
        <f aca="false">IF(B122="","",TEXT(B122,"YYYY-MM"))</f>
        <v/>
      </c>
      <c r="H122" s="10"/>
    </row>
    <row r="123" customFormat="false" ht="15" hidden="false" customHeight="true" outlineLevel="0" collapsed="false">
      <c r="B123" s="11"/>
      <c r="C123" s="18"/>
      <c r="D123" s="10"/>
      <c r="E123" s="10"/>
      <c r="F123" s="10"/>
      <c r="G123" s="19" t="str">
        <f aca="false">IF(B123="","",TEXT(B123,"YYYY-MM"))</f>
        <v/>
      </c>
      <c r="H123" s="10"/>
    </row>
    <row r="124" customFormat="false" ht="15" hidden="false" customHeight="true" outlineLevel="0" collapsed="false">
      <c r="B124" s="11"/>
      <c r="C124" s="18"/>
      <c r="D124" s="10"/>
      <c r="E124" s="10"/>
      <c r="F124" s="10"/>
      <c r="G124" s="19" t="str">
        <f aca="false">IF(B124="","",TEXT(B124,"YYYY-MM"))</f>
        <v/>
      </c>
      <c r="H124" s="10"/>
    </row>
    <row r="125" customFormat="false" ht="15" hidden="false" customHeight="true" outlineLevel="0" collapsed="false">
      <c r="B125" s="11"/>
      <c r="C125" s="18"/>
      <c r="D125" s="10"/>
      <c r="E125" s="10"/>
      <c r="F125" s="10"/>
      <c r="G125" s="19" t="str">
        <f aca="false">IF(B125="","",TEXT(B125,"YYYY-MM"))</f>
        <v/>
      </c>
      <c r="H125" s="10"/>
    </row>
    <row r="126" customFormat="false" ht="15" hidden="false" customHeight="true" outlineLevel="0" collapsed="false">
      <c r="B126" s="11"/>
      <c r="C126" s="18"/>
      <c r="D126" s="10"/>
      <c r="E126" s="10"/>
      <c r="F126" s="10"/>
      <c r="G126" s="19" t="str">
        <f aca="false">IF(B126="","",TEXT(B126,"YYYY-MM"))</f>
        <v/>
      </c>
      <c r="H126" s="10"/>
    </row>
    <row r="127" customFormat="false" ht="15" hidden="false" customHeight="true" outlineLevel="0" collapsed="false">
      <c r="B127" s="11"/>
      <c r="C127" s="18"/>
      <c r="D127" s="10"/>
      <c r="E127" s="10"/>
      <c r="F127" s="10"/>
      <c r="G127" s="19" t="str">
        <f aca="false">IF(B127="","",TEXT(B127,"YYYY-MM"))</f>
        <v/>
      </c>
      <c r="H127" s="10"/>
    </row>
    <row r="128" customFormat="false" ht="15" hidden="false" customHeight="true" outlineLevel="0" collapsed="false">
      <c r="B128" s="11"/>
      <c r="C128" s="18"/>
      <c r="D128" s="10"/>
      <c r="E128" s="10"/>
      <c r="F128" s="10"/>
      <c r="G128" s="19" t="str">
        <f aca="false">IF(B128="","",TEXT(B128,"YYYY-MM"))</f>
        <v/>
      </c>
      <c r="H128" s="10"/>
    </row>
    <row r="129" customFormat="false" ht="15" hidden="false" customHeight="true" outlineLevel="0" collapsed="false">
      <c r="B129" s="11"/>
      <c r="C129" s="18"/>
      <c r="D129" s="10"/>
      <c r="E129" s="10"/>
      <c r="F129" s="10"/>
      <c r="G129" s="19" t="str">
        <f aca="false">IF(B129="","",TEXT(B129,"YYYY-MM"))</f>
        <v/>
      </c>
      <c r="H129" s="10"/>
    </row>
    <row r="130" customFormat="false" ht="15" hidden="false" customHeight="true" outlineLevel="0" collapsed="false">
      <c r="B130" s="11"/>
      <c r="C130" s="18"/>
      <c r="D130" s="10"/>
      <c r="E130" s="10"/>
      <c r="F130" s="10"/>
      <c r="G130" s="19" t="str">
        <f aca="false">IF(B130="","",TEXT(B130,"YYYY-MM"))</f>
        <v/>
      </c>
      <c r="H130" s="10"/>
    </row>
    <row r="131" customFormat="false" ht="15" hidden="false" customHeight="true" outlineLevel="0" collapsed="false">
      <c r="B131" s="11"/>
      <c r="C131" s="18"/>
      <c r="D131" s="10"/>
      <c r="E131" s="10"/>
      <c r="F131" s="10"/>
      <c r="G131" s="19" t="str">
        <f aca="false">IF(B131="","",TEXT(B131,"YYYY-MM"))</f>
        <v/>
      </c>
      <c r="H131" s="10"/>
    </row>
    <row r="132" customFormat="false" ht="15" hidden="false" customHeight="true" outlineLevel="0" collapsed="false">
      <c r="B132" s="11"/>
      <c r="C132" s="18"/>
      <c r="D132" s="10"/>
      <c r="E132" s="10"/>
      <c r="F132" s="10"/>
      <c r="G132" s="19" t="str">
        <f aca="false">IF(B132="","",TEXT(B132,"YYYY-MM"))</f>
        <v/>
      </c>
      <c r="H132" s="10"/>
    </row>
    <row r="133" customFormat="false" ht="15" hidden="false" customHeight="true" outlineLevel="0" collapsed="false">
      <c r="B133" s="11"/>
      <c r="C133" s="18"/>
      <c r="D133" s="10"/>
      <c r="E133" s="10"/>
      <c r="F133" s="10"/>
      <c r="G133" s="19" t="str">
        <f aca="false">IF(B133="","",TEXT(B133,"YYYY-MM"))</f>
        <v/>
      </c>
      <c r="H133" s="10"/>
    </row>
    <row r="134" customFormat="false" ht="15" hidden="false" customHeight="true" outlineLevel="0" collapsed="false">
      <c r="B134" s="11"/>
      <c r="C134" s="18"/>
      <c r="D134" s="10"/>
      <c r="E134" s="10"/>
      <c r="F134" s="10"/>
      <c r="G134" s="19" t="str">
        <f aca="false">IF(B134="","",TEXT(B134,"YYYY-MM"))</f>
        <v/>
      </c>
      <c r="H134" s="10"/>
    </row>
    <row r="135" customFormat="false" ht="15" hidden="false" customHeight="true" outlineLevel="0" collapsed="false">
      <c r="B135" s="11"/>
      <c r="C135" s="18"/>
      <c r="D135" s="10"/>
      <c r="E135" s="10"/>
      <c r="F135" s="10"/>
      <c r="G135" s="19" t="str">
        <f aca="false">IF(B135="","",TEXT(B135,"YYYY-MM"))</f>
        <v/>
      </c>
      <c r="H135" s="10"/>
    </row>
    <row r="136" customFormat="false" ht="15" hidden="false" customHeight="true" outlineLevel="0" collapsed="false">
      <c r="B136" s="11"/>
      <c r="C136" s="18"/>
      <c r="D136" s="10"/>
      <c r="E136" s="10"/>
      <c r="F136" s="10"/>
      <c r="G136" s="19" t="str">
        <f aca="false">IF(B136="","",TEXT(B136,"YYYY-MM"))</f>
        <v/>
      </c>
      <c r="H136" s="10"/>
    </row>
    <row r="137" customFormat="false" ht="15" hidden="false" customHeight="true" outlineLevel="0" collapsed="false">
      <c r="B137" s="11"/>
      <c r="C137" s="18"/>
      <c r="D137" s="10"/>
      <c r="E137" s="10"/>
      <c r="F137" s="10"/>
      <c r="G137" s="19" t="str">
        <f aca="false">IF(B137="","",TEXT(B137,"YYYY-MM"))</f>
        <v/>
      </c>
      <c r="H137" s="10"/>
    </row>
    <row r="138" customFormat="false" ht="15" hidden="false" customHeight="true" outlineLevel="0" collapsed="false">
      <c r="B138" s="11"/>
      <c r="C138" s="18"/>
      <c r="D138" s="10"/>
      <c r="E138" s="10"/>
      <c r="F138" s="10"/>
      <c r="G138" s="19" t="str">
        <f aca="false">IF(B138="","",TEXT(B138,"YYYY-MM"))</f>
        <v/>
      </c>
      <c r="H138" s="10"/>
    </row>
    <row r="139" customFormat="false" ht="15" hidden="false" customHeight="true" outlineLevel="0" collapsed="false">
      <c r="B139" s="11"/>
      <c r="C139" s="18"/>
      <c r="D139" s="10"/>
      <c r="E139" s="10"/>
      <c r="F139" s="10"/>
      <c r="G139" s="19" t="str">
        <f aca="false">IF(B139="","",TEXT(B139,"YYYY-MM"))</f>
        <v/>
      </c>
      <c r="H139" s="10"/>
    </row>
    <row r="140" customFormat="false" ht="15" hidden="false" customHeight="true" outlineLevel="0" collapsed="false">
      <c r="B140" s="11"/>
      <c r="C140" s="18"/>
      <c r="D140" s="10"/>
      <c r="E140" s="10"/>
      <c r="F140" s="10"/>
      <c r="G140" s="19" t="str">
        <f aca="false">IF(B140="","",TEXT(B140,"YYYY-MM"))</f>
        <v/>
      </c>
      <c r="H140" s="10"/>
    </row>
    <row r="141" customFormat="false" ht="15" hidden="false" customHeight="true" outlineLevel="0" collapsed="false">
      <c r="B141" s="11"/>
      <c r="C141" s="18"/>
      <c r="D141" s="10"/>
      <c r="E141" s="10"/>
      <c r="F141" s="10"/>
      <c r="G141" s="19" t="str">
        <f aca="false">IF(B141="","",TEXT(B141,"YYYY-MM"))</f>
        <v/>
      </c>
      <c r="H141" s="10"/>
    </row>
    <row r="142" customFormat="false" ht="15" hidden="false" customHeight="true" outlineLevel="0" collapsed="false">
      <c r="B142" s="11"/>
      <c r="C142" s="18"/>
      <c r="D142" s="10"/>
      <c r="E142" s="10"/>
      <c r="F142" s="10"/>
      <c r="G142" s="19" t="str">
        <f aca="false">IF(B142="","",TEXT(B142,"YYYY-MM"))</f>
        <v/>
      </c>
      <c r="H142" s="10"/>
    </row>
    <row r="143" customFormat="false" ht="15" hidden="false" customHeight="true" outlineLevel="0" collapsed="false">
      <c r="B143" s="11"/>
      <c r="C143" s="18"/>
      <c r="D143" s="10"/>
      <c r="E143" s="10"/>
      <c r="F143" s="10"/>
      <c r="G143" s="19" t="str">
        <f aca="false">IF(B143="","",TEXT(B143,"YYYY-MM"))</f>
        <v/>
      </c>
      <c r="H143" s="10"/>
    </row>
    <row r="144" customFormat="false" ht="15" hidden="false" customHeight="true" outlineLevel="0" collapsed="false">
      <c r="B144" s="11"/>
      <c r="C144" s="18"/>
      <c r="D144" s="10"/>
      <c r="E144" s="10"/>
      <c r="F144" s="10"/>
      <c r="G144" s="19" t="str">
        <f aca="false">IF(B144="","",TEXT(B144,"YYYY-MM"))</f>
        <v/>
      </c>
      <c r="H144" s="10"/>
    </row>
    <row r="145" customFormat="false" ht="15" hidden="false" customHeight="true" outlineLevel="0" collapsed="false">
      <c r="B145" s="11"/>
      <c r="C145" s="18"/>
      <c r="D145" s="10"/>
      <c r="E145" s="10"/>
      <c r="F145" s="10"/>
      <c r="G145" s="19" t="str">
        <f aca="false">IF(B145="","",TEXT(B145,"YYYY-MM"))</f>
        <v/>
      </c>
      <c r="H145" s="10"/>
    </row>
    <row r="146" customFormat="false" ht="15" hidden="false" customHeight="true" outlineLevel="0" collapsed="false">
      <c r="B146" s="11"/>
      <c r="C146" s="18"/>
      <c r="D146" s="10"/>
      <c r="E146" s="10"/>
      <c r="F146" s="10"/>
      <c r="G146" s="19" t="str">
        <f aca="false">IF(B146="","",TEXT(B146,"YYYY-MM"))</f>
        <v/>
      </c>
      <c r="H146" s="10"/>
    </row>
    <row r="147" customFormat="false" ht="15" hidden="false" customHeight="true" outlineLevel="0" collapsed="false">
      <c r="B147" s="11"/>
      <c r="C147" s="18"/>
      <c r="D147" s="10"/>
      <c r="E147" s="10"/>
      <c r="F147" s="10"/>
      <c r="G147" s="19" t="str">
        <f aca="false">IF(B147="","",TEXT(B147,"YYYY-MM"))</f>
        <v/>
      </c>
      <c r="H147" s="10"/>
    </row>
    <row r="148" customFormat="false" ht="15" hidden="false" customHeight="true" outlineLevel="0" collapsed="false">
      <c r="B148" s="11"/>
      <c r="C148" s="18"/>
      <c r="D148" s="10"/>
      <c r="E148" s="10"/>
      <c r="F148" s="10"/>
      <c r="G148" s="19" t="str">
        <f aca="false">IF(B148="","",TEXT(B148,"YYYY-MM"))</f>
        <v/>
      </c>
      <c r="H148" s="10"/>
    </row>
    <row r="149" customFormat="false" ht="15" hidden="false" customHeight="true" outlineLevel="0" collapsed="false">
      <c r="B149" s="11"/>
      <c r="C149" s="18"/>
      <c r="D149" s="10"/>
      <c r="E149" s="10"/>
      <c r="F149" s="10"/>
      <c r="G149" s="19" t="str">
        <f aca="false">IF(B149="","",TEXT(B149,"YYYY-MM"))</f>
        <v/>
      </c>
      <c r="H149" s="10"/>
    </row>
    <row r="150" customFormat="false" ht="15" hidden="false" customHeight="true" outlineLevel="0" collapsed="false">
      <c r="B150" s="11"/>
      <c r="C150" s="18"/>
      <c r="D150" s="10"/>
      <c r="E150" s="10"/>
      <c r="F150" s="10"/>
      <c r="G150" s="19" t="str">
        <f aca="false">IF(B150="","",TEXT(B150,"YYYY-MM"))</f>
        <v/>
      </c>
      <c r="H150" s="10"/>
    </row>
    <row r="151" customFormat="false" ht="15" hidden="false" customHeight="true" outlineLevel="0" collapsed="false">
      <c r="B151" s="11"/>
      <c r="C151" s="18"/>
      <c r="D151" s="10"/>
      <c r="E151" s="10"/>
      <c r="F151" s="10"/>
      <c r="G151" s="19" t="str">
        <f aca="false">IF(B151="","",TEXT(B151,"YYYY-MM"))</f>
        <v/>
      </c>
      <c r="H151" s="10"/>
    </row>
    <row r="152" customFormat="false" ht="15" hidden="false" customHeight="true" outlineLevel="0" collapsed="false">
      <c r="B152" s="11"/>
      <c r="C152" s="18"/>
      <c r="D152" s="10"/>
      <c r="E152" s="10"/>
      <c r="F152" s="10"/>
      <c r="G152" s="19" t="str">
        <f aca="false">IF(B152="","",TEXT(B152,"YYYY-MM"))</f>
        <v/>
      </c>
      <c r="H152" s="10"/>
    </row>
    <row r="153" customFormat="false" ht="15" hidden="false" customHeight="true" outlineLevel="0" collapsed="false">
      <c r="B153" s="11"/>
      <c r="C153" s="18"/>
      <c r="D153" s="10"/>
      <c r="E153" s="10"/>
      <c r="F153" s="10"/>
      <c r="G153" s="19" t="str">
        <f aca="false">IF(B153="","",TEXT(B153,"YYYY-MM"))</f>
        <v/>
      </c>
      <c r="H153" s="10"/>
    </row>
    <row r="154" customFormat="false" ht="15" hidden="false" customHeight="true" outlineLevel="0" collapsed="false">
      <c r="B154" s="11"/>
      <c r="C154" s="18"/>
      <c r="D154" s="10"/>
      <c r="E154" s="10"/>
      <c r="F154" s="10"/>
      <c r="G154" s="19" t="str">
        <f aca="false">IF(B154="","",TEXT(B154,"YYYY-MM"))</f>
        <v/>
      </c>
      <c r="H154" s="10"/>
    </row>
    <row r="155" customFormat="false" ht="15" hidden="false" customHeight="true" outlineLevel="0" collapsed="false">
      <c r="B155" s="11"/>
      <c r="C155" s="18"/>
      <c r="D155" s="10"/>
      <c r="E155" s="10"/>
      <c r="F155" s="10"/>
      <c r="G155" s="19" t="str">
        <f aca="false">IF(B155="","",TEXT(B155,"YYYY-MM"))</f>
        <v/>
      </c>
      <c r="H155" s="10"/>
    </row>
    <row r="156" customFormat="false" ht="15" hidden="false" customHeight="true" outlineLevel="0" collapsed="false">
      <c r="B156" s="11"/>
      <c r="C156" s="18"/>
      <c r="D156" s="10"/>
      <c r="E156" s="10"/>
      <c r="F156" s="10"/>
      <c r="G156" s="19" t="str">
        <f aca="false">IF(B156="","",TEXT(B156,"YYYY-MM"))</f>
        <v/>
      </c>
      <c r="H156" s="10"/>
    </row>
    <row r="157" customFormat="false" ht="15" hidden="false" customHeight="true" outlineLevel="0" collapsed="false">
      <c r="B157" s="11"/>
      <c r="C157" s="18"/>
      <c r="D157" s="10"/>
      <c r="E157" s="10"/>
      <c r="F157" s="10"/>
      <c r="G157" s="19" t="str">
        <f aca="false">IF(B157="","",TEXT(B157,"YYYY-MM"))</f>
        <v/>
      </c>
      <c r="H157" s="10"/>
    </row>
    <row r="158" customFormat="false" ht="15" hidden="false" customHeight="true" outlineLevel="0" collapsed="false">
      <c r="B158" s="11"/>
      <c r="C158" s="18"/>
      <c r="D158" s="10"/>
      <c r="E158" s="10"/>
      <c r="F158" s="10"/>
      <c r="G158" s="19" t="str">
        <f aca="false">IF(B158="","",TEXT(B158,"YYYY-MM"))</f>
        <v/>
      </c>
      <c r="H158" s="10"/>
    </row>
    <row r="159" customFormat="false" ht="15" hidden="false" customHeight="true" outlineLevel="0" collapsed="false">
      <c r="B159" s="11"/>
      <c r="C159" s="18"/>
      <c r="D159" s="10"/>
      <c r="E159" s="10"/>
      <c r="F159" s="10"/>
      <c r="G159" s="19" t="str">
        <f aca="false">IF(B159="","",TEXT(B159,"YYYY-MM"))</f>
        <v/>
      </c>
      <c r="H159" s="10"/>
    </row>
    <row r="160" customFormat="false" ht="15" hidden="false" customHeight="true" outlineLevel="0" collapsed="false">
      <c r="B160" s="11"/>
      <c r="C160" s="18"/>
      <c r="D160" s="10"/>
      <c r="E160" s="10"/>
      <c r="F160" s="10"/>
      <c r="G160" s="19" t="str">
        <f aca="false">IF(B160="","",TEXT(B160,"YYYY-MM"))</f>
        <v/>
      </c>
      <c r="H160" s="10"/>
    </row>
    <row r="161" customFormat="false" ht="15" hidden="false" customHeight="true" outlineLevel="0" collapsed="false">
      <c r="B161" s="11"/>
      <c r="C161" s="18"/>
      <c r="D161" s="10"/>
      <c r="E161" s="10"/>
      <c r="F161" s="10"/>
      <c r="G161" s="19" t="str">
        <f aca="false">IF(B161="","",TEXT(B161,"YYYY-MM"))</f>
        <v/>
      </c>
      <c r="H161" s="10"/>
    </row>
    <row r="162" customFormat="false" ht="15" hidden="false" customHeight="true" outlineLevel="0" collapsed="false">
      <c r="B162" s="11"/>
      <c r="C162" s="18"/>
      <c r="D162" s="10"/>
      <c r="E162" s="10"/>
      <c r="F162" s="10"/>
      <c r="G162" s="19" t="str">
        <f aca="false">IF(B162="","",TEXT(B162,"YYYY-MM"))</f>
        <v/>
      </c>
      <c r="H162" s="10"/>
    </row>
    <row r="163" customFormat="false" ht="15" hidden="false" customHeight="true" outlineLevel="0" collapsed="false">
      <c r="B163" s="11"/>
      <c r="C163" s="18"/>
      <c r="D163" s="10"/>
      <c r="E163" s="10"/>
      <c r="F163" s="10"/>
      <c r="G163" s="19" t="str">
        <f aca="false">IF(B163="","",TEXT(B163,"YYYY-MM"))</f>
        <v/>
      </c>
      <c r="H163" s="10"/>
    </row>
    <row r="164" customFormat="false" ht="15" hidden="false" customHeight="true" outlineLevel="0" collapsed="false">
      <c r="B164" s="11"/>
      <c r="C164" s="18"/>
      <c r="D164" s="10"/>
      <c r="E164" s="10"/>
      <c r="F164" s="10"/>
      <c r="G164" s="19" t="str">
        <f aca="false">IF(B164="","",TEXT(B164,"YYYY-MM"))</f>
        <v/>
      </c>
      <c r="H164" s="10"/>
    </row>
    <row r="165" customFormat="false" ht="15" hidden="false" customHeight="true" outlineLevel="0" collapsed="false">
      <c r="B165" s="11"/>
      <c r="C165" s="18"/>
      <c r="D165" s="10"/>
      <c r="E165" s="10"/>
      <c r="F165" s="10"/>
      <c r="G165" s="19" t="str">
        <f aca="false">IF(B165="","",TEXT(B165,"YYYY-MM"))</f>
        <v/>
      </c>
      <c r="H165" s="10"/>
    </row>
    <row r="166" customFormat="false" ht="15" hidden="false" customHeight="true" outlineLevel="0" collapsed="false">
      <c r="B166" s="11"/>
      <c r="C166" s="18"/>
      <c r="D166" s="10"/>
      <c r="E166" s="10"/>
      <c r="F166" s="10"/>
      <c r="G166" s="19" t="str">
        <f aca="false">IF(B166="","",TEXT(B166,"YYYY-MM"))</f>
        <v/>
      </c>
      <c r="H166" s="10"/>
    </row>
    <row r="167" customFormat="false" ht="15" hidden="false" customHeight="true" outlineLevel="0" collapsed="false">
      <c r="B167" s="11"/>
      <c r="C167" s="18"/>
      <c r="D167" s="10"/>
      <c r="E167" s="10"/>
      <c r="F167" s="10"/>
      <c r="G167" s="19" t="str">
        <f aca="false">IF(B167="","",TEXT(B167,"YYYY-MM"))</f>
        <v/>
      </c>
      <c r="H167" s="10"/>
    </row>
    <row r="168" customFormat="false" ht="15" hidden="false" customHeight="true" outlineLevel="0" collapsed="false">
      <c r="B168" s="11"/>
      <c r="C168" s="18"/>
      <c r="D168" s="10"/>
      <c r="E168" s="10"/>
      <c r="F168" s="10"/>
      <c r="G168" s="19" t="str">
        <f aca="false">IF(B168="","",TEXT(B168,"YYYY-MM"))</f>
        <v/>
      </c>
      <c r="H168" s="10"/>
    </row>
    <row r="169" customFormat="false" ht="15" hidden="false" customHeight="true" outlineLevel="0" collapsed="false">
      <c r="B169" s="11"/>
      <c r="C169" s="18"/>
      <c r="D169" s="10"/>
      <c r="E169" s="10"/>
      <c r="F169" s="10"/>
      <c r="G169" s="19" t="str">
        <f aca="false">IF(B169="","",TEXT(B169,"YYYY-MM"))</f>
        <v/>
      </c>
      <c r="H169" s="10"/>
    </row>
    <row r="170" customFormat="false" ht="15" hidden="false" customHeight="true" outlineLevel="0" collapsed="false">
      <c r="B170" s="11"/>
      <c r="C170" s="18"/>
      <c r="D170" s="10"/>
      <c r="E170" s="10"/>
      <c r="F170" s="10"/>
      <c r="G170" s="19" t="str">
        <f aca="false">IF(B170="","",TEXT(B170,"YYYY-MM"))</f>
        <v/>
      </c>
      <c r="H170" s="10"/>
    </row>
    <row r="171" customFormat="false" ht="15" hidden="false" customHeight="true" outlineLevel="0" collapsed="false">
      <c r="B171" s="11"/>
      <c r="C171" s="18"/>
      <c r="D171" s="10"/>
      <c r="E171" s="10"/>
      <c r="F171" s="10"/>
      <c r="G171" s="19" t="str">
        <f aca="false">IF(B171="","",TEXT(B171,"YYYY-MM"))</f>
        <v/>
      </c>
      <c r="H171" s="10"/>
    </row>
    <row r="172" customFormat="false" ht="15" hidden="false" customHeight="true" outlineLevel="0" collapsed="false">
      <c r="B172" s="11"/>
      <c r="C172" s="18"/>
      <c r="D172" s="10"/>
      <c r="E172" s="10"/>
      <c r="F172" s="10"/>
      <c r="G172" s="19" t="str">
        <f aca="false">IF(B172="","",TEXT(B172,"YYYY-MM"))</f>
        <v/>
      </c>
      <c r="H172" s="10"/>
    </row>
    <row r="173" customFormat="false" ht="15" hidden="false" customHeight="true" outlineLevel="0" collapsed="false">
      <c r="B173" s="11"/>
      <c r="C173" s="18"/>
      <c r="D173" s="10"/>
      <c r="E173" s="10"/>
      <c r="F173" s="10"/>
      <c r="G173" s="19" t="str">
        <f aca="false">IF(B173="","",TEXT(B173,"YYYY-MM"))</f>
        <v/>
      </c>
      <c r="H173" s="10"/>
    </row>
    <row r="174" customFormat="false" ht="15" hidden="false" customHeight="true" outlineLevel="0" collapsed="false">
      <c r="B174" s="11"/>
      <c r="C174" s="18"/>
      <c r="D174" s="10"/>
      <c r="E174" s="10"/>
      <c r="F174" s="10"/>
      <c r="G174" s="19" t="str">
        <f aca="false">IF(B174="","",TEXT(B174,"YYYY-MM"))</f>
        <v/>
      </c>
      <c r="H174" s="10"/>
    </row>
    <row r="175" customFormat="false" ht="15" hidden="false" customHeight="true" outlineLevel="0" collapsed="false">
      <c r="B175" s="11"/>
      <c r="C175" s="18"/>
      <c r="D175" s="10"/>
      <c r="E175" s="10"/>
      <c r="F175" s="10"/>
      <c r="G175" s="19" t="str">
        <f aca="false">IF(B175="","",TEXT(B175,"YYYY-MM"))</f>
        <v/>
      </c>
      <c r="H175" s="10"/>
    </row>
    <row r="176" customFormat="false" ht="15" hidden="false" customHeight="true" outlineLevel="0" collapsed="false">
      <c r="B176" s="11"/>
      <c r="C176" s="18"/>
      <c r="D176" s="10"/>
      <c r="E176" s="10"/>
      <c r="F176" s="10"/>
      <c r="G176" s="19" t="str">
        <f aca="false">IF(B176="","",TEXT(B176,"YYYY-MM"))</f>
        <v/>
      </c>
      <c r="H176" s="10"/>
    </row>
    <row r="177" customFormat="false" ht="15" hidden="false" customHeight="true" outlineLevel="0" collapsed="false">
      <c r="B177" s="11"/>
      <c r="C177" s="18"/>
      <c r="D177" s="10"/>
      <c r="E177" s="10"/>
      <c r="F177" s="10"/>
      <c r="G177" s="19" t="str">
        <f aca="false">IF(B177="","",TEXT(B177,"YYYY-MM"))</f>
        <v/>
      </c>
      <c r="H177" s="10"/>
    </row>
    <row r="178" customFormat="false" ht="15" hidden="false" customHeight="true" outlineLevel="0" collapsed="false">
      <c r="B178" s="11"/>
      <c r="C178" s="18"/>
      <c r="D178" s="10"/>
      <c r="E178" s="10"/>
      <c r="F178" s="10"/>
      <c r="G178" s="19" t="str">
        <f aca="false">IF(B178="","",TEXT(B178,"YYYY-MM"))</f>
        <v/>
      </c>
      <c r="H178" s="10"/>
    </row>
    <row r="179" customFormat="false" ht="15" hidden="false" customHeight="true" outlineLevel="0" collapsed="false">
      <c r="B179" s="11"/>
      <c r="C179" s="18"/>
      <c r="D179" s="10"/>
      <c r="E179" s="10"/>
      <c r="F179" s="10"/>
      <c r="G179" s="19" t="str">
        <f aca="false">IF(B179="","",TEXT(B179,"YYYY-MM"))</f>
        <v/>
      </c>
      <c r="H179" s="10"/>
    </row>
    <row r="180" customFormat="false" ht="15" hidden="false" customHeight="true" outlineLevel="0" collapsed="false">
      <c r="B180" s="11"/>
      <c r="C180" s="18"/>
      <c r="D180" s="10"/>
      <c r="E180" s="10"/>
      <c r="F180" s="10"/>
      <c r="G180" s="19" t="str">
        <f aca="false">IF(B180="","",TEXT(B180,"YYYY-MM"))</f>
        <v/>
      </c>
      <c r="H180" s="10"/>
    </row>
    <row r="181" customFormat="false" ht="15" hidden="false" customHeight="true" outlineLevel="0" collapsed="false">
      <c r="B181" s="11"/>
      <c r="C181" s="18"/>
      <c r="D181" s="10"/>
      <c r="E181" s="10"/>
      <c r="F181" s="10"/>
      <c r="G181" s="19" t="str">
        <f aca="false">IF(B181="","",TEXT(B181,"YYYY-MM"))</f>
        <v/>
      </c>
      <c r="H181" s="10"/>
    </row>
    <row r="182" customFormat="false" ht="15" hidden="false" customHeight="true" outlineLevel="0" collapsed="false">
      <c r="B182" s="11"/>
      <c r="C182" s="18"/>
      <c r="D182" s="10"/>
      <c r="E182" s="10"/>
      <c r="F182" s="10"/>
      <c r="G182" s="19" t="str">
        <f aca="false">IF(B182="","",TEXT(B182,"YYYY-MM"))</f>
        <v/>
      </c>
      <c r="H182" s="10"/>
    </row>
    <row r="183" customFormat="false" ht="15" hidden="false" customHeight="true" outlineLevel="0" collapsed="false">
      <c r="B183" s="11"/>
      <c r="C183" s="18"/>
      <c r="D183" s="10"/>
      <c r="E183" s="10"/>
      <c r="F183" s="10"/>
      <c r="G183" s="19" t="str">
        <f aca="false">IF(B183="","",TEXT(B183,"YYYY-MM"))</f>
        <v/>
      </c>
      <c r="H183" s="10"/>
    </row>
    <row r="184" customFormat="false" ht="15" hidden="false" customHeight="true" outlineLevel="0" collapsed="false">
      <c r="B184" s="11"/>
      <c r="C184" s="18"/>
      <c r="D184" s="10"/>
      <c r="E184" s="10"/>
      <c r="F184" s="10"/>
      <c r="G184" s="19" t="str">
        <f aca="false">IF(B184="","",TEXT(B184,"YYYY-MM"))</f>
        <v/>
      </c>
      <c r="H184" s="10"/>
    </row>
    <row r="185" customFormat="false" ht="15" hidden="false" customHeight="true" outlineLevel="0" collapsed="false">
      <c r="B185" s="11"/>
      <c r="C185" s="18"/>
      <c r="D185" s="10"/>
      <c r="E185" s="10"/>
      <c r="F185" s="10"/>
      <c r="G185" s="19" t="str">
        <f aca="false">IF(B185="","",TEXT(B185,"YYYY-MM"))</f>
        <v/>
      </c>
      <c r="H185" s="10"/>
    </row>
    <row r="186" customFormat="false" ht="15" hidden="false" customHeight="true" outlineLevel="0" collapsed="false">
      <c r="B186" s="11"/>
      <c r="C186" s="18"/>
      <c r="D186" s="10"/>
      <c r="E186" s="10"/>
      <c r="F186" s="10"/>
      <c r="G186" s="19" t="str">
        <f aca="false">IF(B186="","",TEXT(B186,"YYYY-MM"))</f>
        <v/>
      </c>
      <c r="H186" s="10"/>
    </row>
    <row r="187" customFormat="false" ht="15" hidden="false" customHeight="true" outlineLevel="0" collapsed="false">
      <c r="B187" s="11"/>
      <c r="C187" s="18"/>
      <c r="D187" s="10"/>
      <c r="E187" s="10"/>
      <c r="F187" s="10"/>
      <c r="G187" s="19" t="str">
        <f aca="false">IF(B187="","",TEXT(B187,"YYYY-MM"))</f>
        <v/>
      </c>
      <c r="H187" s="10"/>
    </row>
    <row r="188" customFormat="false" ht="15" hidden="false" customHeight="true" outlineLevel="0" collapsed="false">
      <c r="B188" s="11"/>
      <c r="C188" s="18"/>
      <c r="D188" s="10"/>
      <c r="E188" s="10"/>
      <c r="F188" s="10"/>
      <c r="G188" s="19" t="str">
        <f aca="false">IF(B188="","",TEXT(B188,"YYYY-MM"))</f>
        <v/>
      </c>
      <c r="H188" s="10"/>
    </row>
    <row r="189" customFormat="false" ht="15" hidden="false" customHeight="true" outlineLevel="0" collapsed="false">
      <c r="B189" s="11"/>
      <c r="C189" s="18"/>
      <c r="D189" s="10"/>
      <c r="E189" s="10"/>
      <c r="F189" s="10"/>
      <c r="G189" s="19" t="str">
        <f aca="false">IF(B189="","",TEXT(B189,"YYYY-MM"))</f>
        <v/>
      </c>
      <c r="H189" s="10"/>
    </row>
    <row r="190" customFormat="false" ht="15" hidden="false" customHeight="true" outlineLevel="0" collapsed="false">
      <c r="B190" s="11"/>
      <c r="C190" s="18"/>
      <c r="D190" s="10"/>
      <c r="E190" s="10"/>
      <c r="F190" s="10"/>
      <c r="G190" s="19" t="str">
        <f aca="false">IF(B190="","",TEXT(B190,"YYYY-MM"))</f>
        <v/>
      </c>
      <c r="H190" s="10"/>
    </row>
    <row r="191" customFormat="false" ht="15" hidden="false" customHeight="true" outlineLevel="0" collapsed="false">
      <c r="B191" s="11"/>
      <c r="C191" s="18"/>
      <c r="D191" s="10"/>
      <c r="E191" s="10"/>
      <c r="F191" s="10"/>
      <c r="G191" s="19" t="str">
        <f aca="false">IF(B191="","",TEXT(B191,"YYYY-MM"))</f>
        <v/>
      </c>
      <c r="H191" s="10"/>
    </row>
    <row r="192" customFormat="false" ht="15" hidden="false" customHeight="true" outlineLevel="0" collapsed="false">
      <c r="B192" s="11"/>
      <c r="C192" s="18"/>
      <c r="D192" s="10"/>
      <c r="E192" s="10"/>
      <c r="F192" s="10"/>
      <c r="G192" s="19" t="str">
        <f aca="false">IF(B192="","",TEXT(B192,"YYYY-MM"))</f>
        <v/>
      </c>
      <c r="H192" s="10"/>
    </row>
    <row r="193" customFormat="false" ht="15" hidden="false" customHeight="true" outlineLevel="0" collapsed="false">
      <c r="B193" s="11"/>
      <c r="C193" s="18"/>
      <c r="D193" s="10"/>
      <c r="E193" s="10"/>
      <c r="F193" s="10"/>
      <c r="G193" s="19" t="str">
        <f aca="false">IF(B193="","",TEXT(B193,"YYYY-MM"))</f>
        <v/>
      </c>
      <c r="H193" s="10"/>
    </row>
    <row r="194" customFormat="false" ht="15" hidden="false" customHeight="true" outlineLevel="0" collapsed="false">
      <c r="B194" s="11"/>
      <c r="C194" s="18"/>
      <c r="D194" s="10"/>
      <c r="E194" s="10"/>
      <c r="F194" s="10"/>
      <c r="G194" s="19" t="str">
        <f aca="false">IF(B194="","",TEXT(B194,"YYYY-MM"))</f>
        <v/>
      </c>
      <c r="H194" s="10"/>
    </row>
    <row r="195" customFormat="false" ht="15" hidden="false" customHeight="true" outlineLevel="0" collapsed="false">
      <c r="B195" s="11"/>
      <c r="C195" s="18"/>
      <c r="D195" s="10"/>
      <c r="E195" s="10"/>
      <c r="F195" s="10"/>
      <c r="G195" s="19" t="str">
        <f aca="false">IF(B195="","",TEXT(B195,"YYYY-MM"))</f>
        <v/>
      </c>
      <c r="H195" s="10"/>
    </row>
    <row r="196" customFormat="false" ht="15" hidden="false" customHeight="true" outlineLevel="0" collapsed="false">
      <c r="B196" s="11"/>
      <c r="C196" s="18"/>
      <c r="D196" s="10"/>
      <c r="E196" s="10"/>
      <c r="F196" s="10"/>
      <c r="G196" s="19" t="str">
        <f aca="false">IF(B196="","",TEXT(B196,"YYYY-MM"))</f>
        <v/>
      </c>
      <c r="H196" s="10"/>
    </row>
    <row r="197" customFormat="false" ht="15" hidden="false" customHeight="true" outlineLevel="0" collapsed="false">
      <c r="B197" s="11"/>
      <c r="C197" s="18"/>
      <c r="D197" s="10"/>
      <c r="E197" s="10"/>
      <c r="F197" s="10"/>
      <c r="G197" s="19" t="str">
        <f aca="false">IF(B197="","",TEXT(B197,"YYYY-MM"))</f>
        <v/>
      </c>
      <c r="H197" s="10"/>
    </row>
    <row r="198" customFormat="false" ht="15" hidden="false" customHeight="true" outlineLevel="0" collapsed="false">
      <c r="B198" s="11"/>
      <c r="C198" s="18"/>
      <c r="D198" s="10"/>
      <c r="E198" s="10"/>
      <c r="F198" s="10"/>
      <c r="G198" s="19" t="str">
        <f aca="false">IF(B198="","",TEXT(B198,"YYYY-MM"))</f>
        <v/>
      </c>
      <c r="H198" s="10"/>
    </row>
    <row r="199" customFormat="false" ht="15" hidden="false" customHeight="true" outlineLevel="0" collapsed="false">
      <c r="B199" s="11"/>
      <c r="C199" s="18"/>
      <c r="D199" s="10"/>
      <c r="E199" s="10"/>
      <c r="F199" s="10"/>
      <c r="G199" s="19" t="str">
        <f aca="false">IF(B199="","",TEXT(B199,"YYYY-MM"))</f>
        <v/>
      </c>
      <c r="H199" s="10"/>
    </row>
    <row r="200" customFormat="false" ht="15" hidden="false" customHeight="true" outlineLevel="0" collapsed="false">
      <c r="B200" s="11"/>
      <c r="C200" s="18"/>
      <c r="D200" s="10"/>
      <c r="E200" s="10"/>
      <c r="F200" s="10"/>
      <c r="G200" s="19" t="str">
        <f aca="false">IF(B200="","",TEXT(B200,"YYYY-MM"))</f>
        <v/>
      </c>
      <c r="H200" s="10"/>
    </row>
    <row r="201" customFormat="false" ht="15" hidden="false" customHeight="true" outlineLevel="0" collapsed="false">
      <c r="B201" s="11"/>
      <c r="C201" s="18"/>
      <c r="D201" s="10"/>
      <c r="E201" s="10"/>
      <c r="F201" s="10"/>
      <c r="G201" s="19" t="str">
        <f aca="false">IF(B201="","",TEXT(B201,"YYYY-MM"))</f>
        <v/>
      </c>
      <c r="H201" s="10"/>
    </row>
    <row r="202" customFormat="false" ht="15" hidden="false" customHeight="true" outlineLevel="0" collapsed="false">
      <c r="B202" s="11"/>
      <c r="C202" s="18"/>
      <c r="D202" s="10"/>
      <c r="E202" s="10"/>
      <c r="F202" s="10"/>
      <c r="G202" s="19" t="str">
        <f aca="false">IF(B202="","",TEXT(B202,"YYYY-MM"))</f>
        <v/>
      </c>
      <c r="H202" s="10"/>
    </row>
    <row r="203" customFormat="false" ht="15" hidden="false" customHeight="true" outlineLevel="0" collapsed="false">
      <c r="B203" s="11"/>
      <c r="C203" s="18"/>
      <c r="D203" s="10"/>
      <c r="E203" s="10"/>
      <c r="F203" s="10"/>
      <c r="G203" s="19" t="str">
        <f aca="false">IF(B203="","",TEXT(B203,"YYYY-MM"))</f>
        <v/>
      </c>
      <c r="H203" s="10"/>
    </row>
    <row r="204" customFormat="false" ht="15" hidden="false" customHeight="true" outlineLevel="0" collapsed="false">
      <c r="B204" s="11"/>
      <c r="C204" s="18"/>
      <c r="D204" s="10"/>
      <c r="E204" s="10"/>
      <c r="F204" s="10"/>
      <c r="G204" s="19" t="str">
        <f aca="false">IF(B204="","",TEXT(B204,"YYYY-MM"))</f>
        <v/>
      </c>
      <c r="H204" s="10"/>
    </row>
    <row r="205" customFormat="false" ht="15" hidden="false" customHeight="true" outlineLevel="0" collapsed="false">
      <c r="B205" s="11"/>
      <c r="C205" s="18"/>
      <c r="D205" s="10"/>
      <c r="E205" s="10"/>
      <c r="F205" s="10"/>
      <c r="G205" s="19" t="str">
        <f aca="false">IF(B205="","",TEXT(B205,"YYYY-MM"))</f>
        <v/>
      </c>
      <c r="H205" s="10"/>
    </row>
  </sheetData>
  <mergeCells count="2">
    <mergeCell ref="B2:H2"/>
    <mergeCell ref="B3:H3"/>
  </mergeCells>
  <dataValidations count="2">
    <dataValidation allowBlank="true" errorStyle="stop" operator="between" showDropDown="false" showErrorMessage="false" showInputMessage="false" sqref="D6:D205" type="list">
      <formula1>Settings!$B$6:$B$8</formula1>
      <formula2>0</formula2>
    </dataValidation>
    <dataValidation allowBlank="true" errorStyle="stop" operator="between" showDropDown="false" showErrorMessage="false" showInputMessage="false" sqref="F6:F205" type="list">
      <formula1>Settings!$C$6:$C$12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30"/>
  </cols>
  <sheetData>
    <row r="2" customFormat="false" ht="30" hidden="false" customHeight="true" outlineLevel="0" collapsed="false">
      <c r="B2" s="6" t="s">
        <v>148</v>
      </c>
      <c r="C2" s="6"/>
      <c r="D2" s="6"/>
      <c r="E2" s="6"/>
      <c r="F2" s="6"/>
      <c r="G2" s="6"/>
      <c r="H2" s="6"/>
      <c r="I2" s="6"/>
    </row>
    <row r="3" customFormat="false" ht="19.5" hidden="false" customHeight="true" outlineLevel="0" collapsed="false">
      <c r="B3" s="7" t="s">
        <v>149</v>
      </c>
      <c r="C3" s="7"/>
      <c r="D3" s="7"/>
      <c r="E3" s="7"/>
      <c r="F3" s="7"/>
      <c r="G3" s="7"/>
      <c r="H3" s="7"/>
      <c r="I3" s="7"/>
    </row>
    <row r="5" customFormat="false" ht="24" hidden="false" customHeight="true" outlineLevel="0" collapsed="false">
      <c r="B5" s="14" t="s">
        <v>131</v>
      </c>
      <c r="C5" s="14" t="s">
        <v>132</v>
      </c>
      <c r="D5" s="14" t="s">
        <v>133</v>
      </c>
      <c r="E5" s="14" t="s">
        <v>150</v>
      </c>
      <c r="F5" s="14" t="s">
        <v>135</v>
      </c>
      <c r="G5" s="14" t="s">
        <v>151</v>
      </c>
      <c r="H5" s="14" t="s">
        <v>136</v>
      </c>
      <c r="I5" s="14" t="s">
        <v>137</v>
      </c>
    </row>
    <row r="6" customFormat="false" ht="15" hidden="false" customHeight="true" outlineLevel="0" collapsed="false">
      <c r="B6" s="11" t="n">
        <v>46023</v>
      </c>
      <c r="C6" s="18" t="n">
        <v>2800</v>
      </c>
      <c r="D6" s="10" t="s">
        <v>56</v>
      </c>
      <c r="E6" s="10" t="s">
        <v>152</v>
      </c>
      <c r="F6" s="10" t="s">
        <v>70</v>
      </c>
      <c r="G6" s="10" t="s">
        <v>153</v>
      </c>
      <c r="H6" s="19" t="str">
        <f aca="false">IF(B6="","",TEXT(B6,"YYYY-MM"))</f>
        <v>2026-01</v>
      </c>
      <c r="I6" s="10" t="s">
        <v>154</v>
      </c>
    </row>
    <row r="7" customFormat="false" ht="15" hidden="false" customHeight="true" outlineLevel="0" collapsed="false">
      <c r="B7" s="11" t="n">
        <v>46025</v>
      </c>
      <c r="C7" s="18" t="n">
        <v>187.43</v>
      </c>
      <c r="D7" s="10" t="s">
        <v>141</v>
      </c>
      <c r="E7" s="10" t="s">
        <v>155</v>
      </c>
      <c r="F7" s="10" t="s">
        <v>72</v>
      </c>
      <c r="G7" s="10" t="s">
        <v>156</v>
      </c>
      <c r="H7" s="19" t="str">
        <f aca="false">IF(B7="","",TEXT(B7,"YYYY-MM"))</f>
        <v>2026-01</v>
      </c>
      <c r="I7" s="10" t="s">
        <v>157</v>
      </c>
    </row>
    <row r="8" customFormat="false" ht="15" hidden="false" customHeight="true" outlineLevel="0" collapsed="false">
      <c r="B8" s="11" t="n">
        <v>46026</v>
      </c>
      <c r="C8" s="18" t="n">
        <v>142</v>
      </c>
      <c r="D8" s="10" t="s">
        <v>138</v>
      </c>
      <c r="E8" s="10" t="s">
        <v>158</v>
      </c>
      <c r="F8" s="10" t="s">
        <v>74</v>
      </c>
      <c r="G8" s="10" t="s">
        <v>156</v>
      </c>
      <c r="H8" s="19" t="str">
        <f aca="false">IF(B8="","",TEXT(B8,"YYYY-MM"))</f>
        <v>2026-01</v>
      </c>
      <c r="I8" s="10" t="s">
        <v>159</v>
      </c>
    </row>
    <row r="9" customFormat="false" ht="15" hidden="false" customHeight="true" outlineLevel="0" collapsed="false">
      <c r="B9" s="11" t="n">
        <v>46028</v>
      </c>
      <c r="C9" s="18" t="n">
        <v>520</v>
      </c>
      <c r="D9" s="10" t="s">
        <v>56</v>
      </c>
      <c r="E9" s="10" t="s">
        <v>160</v>
      </c>
      <c r="F9" s="10" t="s">
        <v>76</v>
      </c>
      <c r="G9" s="10" t="s">
        <v>153</v>
      </c>
      <c r="H9" s="19" t="str">
        <f aca="false">IF(B9="","",TEXT(B9,"YYYY-MM"))</f>
        <v>2026-01</v>
      </c>
      <c r="I9" s="10" t="s">
        <v>161</v>
      </c>
    </row>
    <row r="10" customFormat="false" ht="15" hidden="false" customHeight="true" outlineLevel="0" collapsed="false">
      <c r="B10" s="11" t="n">
        <v>46030</v>
      </c>
      <c r="C10" s="18" t="n">
        <v>54.2</v>
      </c>
      <c r="D10" s="10" t="s">
        <v>141</v>
      </c>
      <c r="E10" s="10" t="s">
        <v>162</v>
      </c>
      <c r="F10" s="10" t="s">
        <v>72</v>
      </c>
      <c r="G10" s="10" t="s">
        <v>156</v>
      </c>
      <c r="H10" s="19" t="str">
        <f aca="false">IF(B10="","",TEXT(B10,"YYYY-MM"))</f>
        <v>2026-01</v>
      </c>
      <c r="I10" s="10" t="s">
        <v>163</v>
      </c>
    </row>
    <row r="11" customFormat="false" ht="15" hidden="false" customHeight="true" outlineLevel="0" collapsed="false">
      <c r="B11" s="11" t="n">
        <v>46032</v>
      </c>
      <c r="C11" s="18" t="n">
        <v>89</v>
      </c>
      <c r="D11" s="10" t="s">
        <v>56</v>
      </c>
      <c r="E11" s="10" t="s">
        <v>164</v>
      </c>
      <c r="F11" s="10" t="s">
        <v>72</v>
      </c>
      <c r="G11" s="10" t="s">
        <v>156</v>
      </c>
      <c r="H11" s="19" t="str">
        <f aca="false">IF(B11="","",TEXT(B11,"YYYY-MM"))</f>
        <v>2026-01</v>
      </c>
      <c r="I11" s="10" t="s">
        <v>165</v>
      </c>
    </row>
    <row r="12" customFormat="false" ht="15" hidden="false" customHeight="true" outlineLevel="0" collapsed="false">
      <c r="B12" s="11" t="n">
        <v>46034</v>
      </c>
      <c r="C12" s="18" t="n">
        <v>240</v>
      </c>
      <c r="D12" s="10" t="s">
        <v>138</v>
      </c>
      <c r="E12" s="10" t="s">
        <v>166</v>
      </c>
      <c r="F12" s="10" t="s">
        <v>84</v>
      </c>
      <c r="G12" s="10" t="s">
        <v>156</v>
      </c>
      <c r="H12" s="19" t="str">
        <f aca="false">IF(B12="","",TEXT(B12,"YYYY-MM"))</f>
        <v>2026-01</v>
      </c>
      <c r="I12" s="10" t="s">
        <v>167</v>
      </c>
    </row>
    <row r="13" customFormat="false" ht="15" hidden="false" customHeight="true" outlineLevel="0" collapsed="false">
      <c r="B13" s="11" t="n">
        <v>46037</v>
      </c>
      <c r="C13" s="18" t="n">
        <v>1200</v>
      </c>
      <c r="D13" s="10" t="s">
        <v>56</v>
      </c>
      <c r="E13" s="10" t="s">
        <v>168</v>
      </c>
      <c r="F13" s="10" t="s">
        <v>90</v>
      </c>
      <c r="G13" s="10" t="s">
        <v>169</v>
      </c>
      <c r="H13" s="19" t="str">
        <f aca="false">IF(B13="","",TEXT(B13,"YYYY-MM"))</f>
        <v>2026-01</v>
      </c>
      <c r="I13" s="10" t="s">
        <v>170</v>
      </c>
    </row>
    <row r="14" customFormat="false" ht="15" hidden="false" customHeight="true" outlineLevel="0" collapsed="false">
      <c r="B14" s="11" t="n">
        <v>46040</v>
      </c>
      <c r="C14" s="18" t="n">
        <v>32</v>
      </c>
      <c r="D14" s="10" t="s">
        <v>141</v>
      </c>
      <c r="E14" s="10" t="s">
        <v>171</v>
      </c>
      <c r="F14" s="10" t="s">
        <v>76</v>
      </c>
      <c r="G14" s="10" t="s">
        <v>156</v>
      </c>
      <c r="H14" s="19" t="str">
        <f aca="false">IF(B14="","",TEXT(B14,"YYYY-MM"))</f>
        <v>2026-01</v>
      </c>
      <c r="I14" s="10" t="s">
        <v>172</v>
      </c>
    </row>
    <row r="15" customFormat="false" ht="15" hidden="false" customHeight="true" outlineLevel="0" collapsed="false">
      <c r="B15" s="11" t="n">
        <v>46042</v>
      </c>
      <c r="C15" s="18" t="n">
        <v>14.99</v>
      </c>
      <c r="D15" s="10" t="s">
        <v>56</v>
      </c>
      <c r="E15" s="10" t="s">
        <v>173</v>
      </c>
      <c r="F15" s="10" t="s">
        <v>88</v>
      </c>
      <c r="G15" s="10" t="s">
        <v>153</v>
      </c>
      <c r="H15" s="19" t="str">
        <f aca="false">IF(B15="","",TEXT(B15,"YYYY-MM"))</f>
        <v>2026-01</v>
      </c>
      <c r="I15" s="10" t="s">
        <v>174</v>
      </c>
    </row>
    <row r="16" customFormat="false" ht="15" hidden="false" customHeight="true" outlineLevel="0" collapsed="false">
      <c r="B16" s="11" t="n">
        <v>46044</v>
      </c>
      <c r="C16" s="18" t="n">
        <v>175</v>
      </c>
      <c r="D16" s="10" t="s">
        <v>138</v>
      </c>
      <c r="E16" s="10" t="s">
        <v>175</v>
      </c>
      <c r="F16" s="10" t="s">
        <v>74</v>
      </c>
      <c r="G16" s="10" t="s">
        <v>156</v>
      </c>
      <c r="H16" s="19" t="str">
        <f aca="false">IF(B16="","",TEXT(B16,"YYYY-MM"))</f>
        <v>2026-01</v>
      </c>
      <c r="I16" s="10" t="s">
        <v>176</v>
      </c>
    </row>
    <row r="17" customFormat="false" ht="15" hidden="false" customHeight="true" outlineLevel="0" collapsed="false">
      <c r="B17" s="11" t="n">
        <v>46047</v>
      </c>
      <c r="C17" s="18" t="n">
        <v>220</v>
      </c>
      <c r="D17" s="10" t="s">
        <v>141</v>
      </c>
      <c r="E17" s="10" t="s">
        <v>177</v>
      </c>
      <c r="F17" s="10" t="s">
        <v>84</v>
      </c>
      <c r="G17" s="10" t="s">
        <v>156</v>
      </c>
      <c r="H17" s="19" t="str">
        <f aca="false">IF(B17="","",TEXT(B17,"YYYY-MM"))</f>
        <v>2026-01</v>
      </c>
      <c r="I17" s="10" t="s">
        <v>178</v>
      </c>
    </row>
    <row r="18" customFormat="false" ht="15" hidden="false" customHeight="true" outlineLevel="0" collapsed="false">
      <c r="B18" s="11" t="n">
        <v>46050</v>
      </c>
      <c r="C18" s="18" t="n">
        <v>145</v>
      </c>
      <c r="D18" s="10" t="s">
        <v>56</v>
      </c>
      <c r="E18" s="10" t="s">
        <v>179</v>
      </c>
      <c r="F18" s="10" t="s">
        <v>70</v>
      </c>
      <c r="G18" s="10" t="s">
        <v>153</v>
      </c>
      <c r="H18" s="19" t="str">
        <f aca="false">IF(B18="","",TEXT(B18,"YYYY-MM"))</f>
        <v>2026-01</v>
      </c>
      <c r="I18" s="10" t="s">
        <v>180</v>
      </c>
    </row>
    <row r="19" customFormat="false" ht="15" hidden="false" customHeight="true" outlineLevel="0" collapsed="false">
      <c r="B19" s="11"/>
      <c r="C19" s="18"/>
      <c r="D19" s="10"/>
      <c r="E19" s="10"/>
      <c r="F19" s="10"/>
      <c r="G19" s="10"/>
      <c r="H19" s="19" t="str">
        <f aca="false">IF(B19="","",TEXT(B19,"YYYY-MM"))</f>
        <v/>
      </c>
      <c r="I19" s="10"/>
    </row>
    <row r="20" customFormat="false" ht="15" hidden="false" customHeight="true" outlineLevel="0" collapsed="false">
      <c r="B20" s="11"/>
      <c r="C20" s="18"/>
      <c r="D20" s="10"/>
      <c r="E20" s="10"/>
      <c r="F20" s="10"/>
      <c r="G20" s="10"/>
      <c r="H20" s="19" t="str">
        <f aca="false">IF(B20="","",TEXT(B20,"YYYY-MM"))</f>
        <v/>
      </c>
      <c r="I20" s="10"/>
    </row>
    <row r="21" customFormat="false" ht="15" hidden="false" customHeight="true" outlineLevel="0" collapsed="false">
      <c r="B21" s="11"/>
      <c r="C21" s="18"/>
      <c r="D21" s="10"/>
      <c r="E21" s="10"/>
      <c r="F21" s="10"/>
      <c r="G21" s="10"/>
      <c r="H21" s="19" t="str">
        <f aca="false">IF(B21="","",TEXT(B21,"YYYY-MM"))</f>
        <v/>
      </c>
      <c r="I21" s="10"/>
    </row>
    <row r="22" customFormat="false" ht="15" hidden="false" customHeight="true" outlineLevel="0" collapsed="false">
      <c r="B22" s="11"/>
      <c r="C22" s="18"/>
      <c r="D22" s="10"/>
      <c r="E22" s="10"/>
      <c r="F22" s="10"/>
      <c r="G22" s="10"/>
      <c r="H22" s="19" t="str">
        <f aca="false">IF(B22="","",TEXT(B22,"YYYY-MM"))</f>
        <v/>
      </c>
      <c r="I22" s="10"/>
    </row>
    <row r="23" customFormat="false" ht="15" hidden="false" customHeight="true" outlineLevel="0" collapsed="false">
      <c r="B23" s="11"/>
      <c r="C23" s="18"/>
      <c r="D23" s="10"/>
      <c r="E23" s="10"/>
      <c r="F23" s="10"/>
      <c r="G23" s="10"/>
      <c r="H23" s="19" t="str">
        <f aca="false">IF(B23="","",TEXT(B23,"YYYY-MM"))</f>
        <v/>
      </c>
      <c r="I23" s="10"/>
    </row>
    <row r="24" customFormat="false" ht="15" hidden="false" customHeight="true" outlineLevel="0" collapsed="false">
      <c r="B24" s="11"/>
      <c r="C24" s="18"/>
      <c r="D24" s="10"/>
      <c r="E24" s="10"/>
      <c r="F24" s="10"/>
      <c r="G24" s="10"/>
      <c r="H24" s="19" t="str">
        <f aca="false">IF(B24="","",TEXT(B24,"YYYY-MM"))</f>
        <v/>
      </c>
      <c r="I24" s="10"/>
    </row>
    <row r="25" customFormat="false" ht="15" hidden="false" customHeight="true" outlineLevel="0" collapsed="false">
      <c r="B25" s="11"/>
      <c r="C25" s="18"/>
      <c r="D25" s="10"/>
      <c r="E25" s="10"/>
      <c r="F25" s="10"/>
      <c r="G25" s="10"/>
      <c r="H25" s="19" t="str">
        <f aca="false">IF(B25="","",TEXT(B25,"YYYY-MM"))</f>
        <v/>
      </c>
      <c r="I25" s="10"/>
    </row>
    <row r="26" customFormat="false" ht="15" hidden="false" customHeight="true" outlineLevel="0" collapsed="false">
      <c r="B26" s="11"/>
      <c r="C26" s="18"/>
      <c r="D26" s="10"/>
      <c r="E26" s="10"/>
      <c r="F26" s="10"/>
      <c r="G26" s="10"/>
      <c r="H26" s="19" t="str">
        <f aca="false">IF(B26="","",TEXT(B26,"YYYY-MM"))</f>
        <v/>
      </c>
      <c r="I26" s="10"/>
    </row>
    <row r="27" customFormat="false" ht="15" hidden="false" customHeight="true" outlineLevel="0" collapsed="false">
      <c r="B27" s="11"/>
      <c r="C27" s="18"/>
      <c r="D27" s="10"/>
      <c r="E27" s="10"/>
      <c r="F27" s="10"/>
      <c r="G27" s="10"/>
      <c r="H27" s="19" t="str">
        <f aca="false">IF(B27="","",TEXT(B27,"YYYY-MM"))</f>
        <v/>
      </c>
      <c r="I27" s="10"/>
    </row>
    <row r="28" customFormat="false" ht="15" hidden="false" customHeight="true" outlineLevel="0" collapsed="false">
      <c r="B28" s="11"/>
      <c r="C28" s="18"/>
      <c r="D28" s="10"/>
      <c r="E28" s="10"/>
      <c r="F28" s="10"/>
      <c r="G28" s="10"/>
      <c r="H28" s="19" t="str">
        <f aca="false">IF(B28="","",TEXT(B28,"YYYY-MM"))</f>
        <v/>
      </c>
      <c r="I28" s="10"/>
    </row>
    <row r="29" customFormat="false" ht="15" hidden="false" customHeight="true" outlineLevel="0" collapsed="false">
      <c r="B29" s="11"/>
      <c r="C29" s="18"/>
      <c r="D29" s="10"/>
      <c r="E29" s="10"/>
      <c r="F29" s="10"/>
      <c r="G29" s="10"/>
      <c r="H29" s="19" t="str">
        <f aca="false">IF(B29="","",TEXT(B29,"YYYY-MM"))</f>
        <v/>
      </c>
      <c r="I29" s="10"/>
    </row>
    <row r="30" customFormat="false" ht="15" hidden="false" customHeight="true" outlineLevel="0" collapsed="false">
      <c r="B30" s="11"/>
      <c r="C30" s="18"/>
      <c r="D30" s="10"/>
      <c r="E30" s="10"/>
      <c r="F30" s="10"/>
      <c r="G30" s="10"/>
      <c r="H30" s="19" t="str">
        <f aca="false">IF(B30="","",TEXT(B30,"YYYY-MM"))</f>
        <v/>
      </c>
      <c r="I30" s="10"/>
    </row>
    <row r="31" customFormat="false" ht="15" hidden="false" customHeight="true" outlineLevel="0" collapsed="false">
      <c r="B31" s="11"/>
      <c r="C31" s="18"/>
      <c r="D31" s="10"/>
      <c r="E31" s="10"/>
      <c r="F31" s="10"/>
      <c r="G31" s="10"/>
      <c r="H31" s="19" t="str">
        <f aca="false">IF(B31="","",TEXT(B31,"YYYY-MM"))</f>
        <v/>
      </c>
      <c r="I31" s="10"/>
    </row>
    <row r="32" customFormat="false" ht="15" hidden="false" customHeight="true" outlineLevel="0" collapsed="false">
      <c r="B32" s="11"/>
      <c r="C32" s="18"/>
      <c r="D32" s="10"/>
      <c r="E32" s="10"/>
      <c r="F32" s="10"/>
      <c r="G32" s="10"/>
      <c r="H32" s="19" t="str">
        <f aca="false">IF(B32="","",TEXT(B32,"YYYY-MM"))</f>
        <v/>
      </c>
      <c r="I32" s="10"/>
    </row>
    <row r="33" customFormat="false" ht="15" hidden="false" customHeight="true" outlineLevel="0" collapsed="false">
      <c r="B33" s="11"/>
      <c r="C33" s="18"/>
      <c r="D33" s="10"/>
      <c r="E33" s="10"/>
      <c r="F33" s="10"/>
      <c r="G33" s="10"/>
      <c r="H33" s="19" t="str">
        <f aca="false">IF(B33="","",TEXT(B33,"YYYY-MM"))</f>
        <v/>
      </c>
      <c r="I33" s="10"/>
    </row>
    <row r="34" customFormat="false" ht="15" hidden="false" customHeight="true" outlineLevel="0" collapsed="false">
      <c r="B34" s="11"/>
      <c r="C34" s="18"/>
      <c r="D34" s="10"/>
      <c r="E34" s="10"/>
      <c r="F34" s="10"/>
      <c r="G34" s="10"/>
      <c r="H34" s="19" t="str">
        <f aca="false">IF(B34="","",TEXT(B34,"YYYY-MM"))</f>
        <v/>
      </c>
      <c r="I34" s="10"/>
    </row>
    <row r="35" customFormat="false" ht="15" hidden="false" customHeight="true" outlineLevel="0" collapsed="false">
      <c r="B35" s="11"/>
      <c r="C35" s="18"/>
      <c r="D35" s="10"/>
      <c r="E35" s="10"/>
      <c r="F35" s="10"/>
      <c r="G35" s="10"/>
      <c r="H35" s="19" t="str">
        <f aca="false">IF(B35="","",TEXT(B35,"YYYY-MM"))</f>
        <v/>
      </c>
      <c r="I35" s="10"/>
    </row>
    <row r="36" customFormat="false" ht="15" hidden="false" customHeight="true" outlineLevel="0" collapsed="false">
      <c r="B36" s="11"/>
      <c r="C36" s="18"/>
      <c r="D36" s="10"/>
      <c r="E36" s="10"/>
      <c r="F36" s="10"/>
      <c r="G36" s="10"/>
      <c r="H36" s="19" t="str">
        <f aca="false">IF(B36="","",TEXT(B36,"YYYY-MM"))</f>
        <v/>
      </c>
      <c r="I36" s="10"/>
    </row>
    <row r="37" customFormat="false" ht="15" hidden="false" customHeight="true" outlineLevel="0" collapsed="false">
      <c r="B37" s="11"/>
      <c r="C37" s="18"/>
      <c r="D37" s="10"/>
      <c r="E37" s="10"/>
      <c r="F37" s="10"/>
      <c r="G37" s="10"/>
      <c r="H37" s="19" t="str">
        <f aca="false">IF(B37="","",TEXT(B37,"YYYY-MM"))</f>
        <v/>
      </c>
      <c r="I37" s="10"/>
    </row>
    <row r="38" customFormat="false" ht="15" hidden="false" customHeight="true" outlineLevel="0" collapsed="false">
      <c r="B38" s="11"/>
      <c r="C38" s="18"/>
      <c r="D38" s="10"/>
      <c r="E38" s="10"/>
      <c r="F38" s="10"/>
      <c r="G38" s="10"/>
      <c r="H38" s="19" t="str">
        <f aca="false">IF(B38="","",TEXT(B38,"YYYY-MM"))</f>
        <v/>
      </c>
      <c r="I38" s="10"/>
    </row>
    <row r="39" customFormat="false" ht="15" hidden="false" customHeight="true" outlineLevel="0" collapsed="false">
      <c r="B39" s="11"/>
      <c r="C39" s="18"/>
      <c r="D39" s="10"/>
      <c r="E39" s="10"/>
      <c r="F39" s="10"/>
      <c r="G39" s="10"/>
      <c r="H39" s="19" t="str">
        <f aca="false">IF(B39="","",TEXT(B39,"YYYY-MM"))</f>
        <v/>
      </c>
      <c r="I39" s="10"/>
    </row>
    <row r="40" customFormat="false" ht="15" hidden="false" customHeight="true" outlineLevel="0" collapsed="false">
      <c r="B40" s="11"/>
      <c r="C40" s="18"/>
      <c r="D40" s="10"/>
      <c r="E40" s="10"/>
      <c r="F40" s="10"/>
      <c r="G40" s="10"/>
      <c r="H40" s="19" t="str">
        <f aca="false">IF(B40="","",TEXT(B40,"YYYY-MM"))</f>
        <v/>
      </c>
      <c r="I40" s="10"/>
    </row>
    <row r="41" customFormat="false" ht="15" hidden="false" customHeight="true" outlineLevel="0" collapsed="false">
      <c r="B41" s="11"/>
      <c r="C41" s="18"/>
      <c r="D41" s="10"/>
      <c r="E41" s="10"/>
      <c r="F41" s="10"/>
      <c r="G41" s="10"/>
      <c r="H41" s="19" t="str">
        <f aca="false">IF(B41="","",TEXT(B41,"YYYY-MM"))</f>
        <v/>
      </c>
      <c r="I41" s="10"/>
    </row>
    <row r="42" customFormat="false" ht="15" hidden="false" customHeight="true" outlineLevel="0" collapsed="false">
      <c r="B42" s="11"/>
      <c r="C42" s="18"/>
      <c r="D42" s="10"/>
      <c r="E42" s="10"/>
      <c r="F42" s="10"/>
      <c r="G42" s="10"/>
      <c r="H42" s="19" t="str">
        <f aca="false">IF(B42="","",TEXT(B42,"YYYY-MM"))</f>
        <v/>
      </c>
      <c r="I42" s="10"/>
    </row>
    <row r="43" customFormat="false" ht="15" hidden="false" customHeight="true" outlineLevel="0" collapsed="false">
      <c r="B43" s="11"/>
      <c r="C43" s="18"/>
      <c r="D43" s="10"/>
      <c r="E43" s="10"/>
      <c r="F43" s="10"/>
      <c r="G43" s="10"/>
      <c r="H43" s="19" t="str">
        <f aca="false">IF(B43="","",TEXT(B43,"YYYY-MM"))</f>
        <v/>
      </c>
      <c r="I43" s="10"/>
    </row>
    <row r="44" customFormat="false" ht="15" hidden="false" customHeight="true" outlineLevel="0" collapsed="false">
      <c r="B44" s="11"/>
      <c r="C44" s="18"/>
      <c r="D44" s="10"/>
      <c r="E44" s="10"/>
      <c r="F44" s="10"/>
      <c r="G44" s="10"/>
      <c r="H44" s="19" t="str">
        <f aca="false">IF(B44="","",TEXT(B44,"YYYY-MM"))</f>
        <v/>
      </c>
      <c r="I44" s="10"/>
    </row>
    <row r="45" customFormat="false" ht="15" hidden="false" customHeight="true" outlineLevel="0" collapsed="false">
      <c r="B45" s="11"/>
      <c r="C45" s="18"/>
      <c r="D45" s="10"/>
      <c r="E45" s="10"/>
      <c r="F45" s="10"/>
      <c r="G45" s="10"/>
      <c r="H45" s="19" t="str">
        <f aca="false">IF(B45="","",TEXT(B45,"YYYY-MM"))</f>
        <v/>
      </c>
      <c r="I45" s="10"/>
    </row>
    <row r="46" customFormat="false" ht="15" hidden="false" customHeight="true" outlineLevel="0" collapsed="false">
      <c r="B46" s="11"/>
      <c r="C46" s="18"/>
      <c r="D46" s="10"/>
      <c r="E46" s="10"/>
      <c r="F46" s="10"/>
      <c r="G46" s="10"/>
      <c r="H46" s="19" t="str">
        <f aca="false">IF(B46="","",TEXT(B46,"YYYY-MM"))</f>
        <v/>
      </c>
      <c r="I46" s="10"/>
    </row>
    <row r="47" customFormat="false" ht="15" hidden="false" customHeight="true" outlineLevel="0" collapsed="false">
      <c r="B47" s="11"/>
      <c r="C47" s="18"/>
      <c r="D47" s="10"/>
      <c r="E47" s="10"/>
      <c r="F47" s="10"/>
      <c r="G47" s="10"/>
      <c r="H47" s="19" t="str">
        <f aca="false">IF(B47="","",TEXT(B47,"YYYY-MM"))</f>
        <v/>
      </c>
      <c r="I47" s="10"/>
    </row>
    <row r="48" customFormat="false" ht="15" hidden="false" customHeight="true" outlineLevel="0" collapsed="false">
      <c r="B48" s="11"/>
      <c r="C48" s="18"/>
      <c r="D48" s="10"/>
      <c r="E48" s="10"/>
      <c r="F48" s="10"/>
      <c r="G48" s="10"/>
      <c r="H48" s="19" t="str">
        <f aca="false">IF(B48="","",TEXT(B48,"YYYY-MM"))</f>
        <v/>
      </c>
      <c r="I48" s="10"/>
    </row>
    <row r="49" customFormat="false" ht="15" hidden="false" customHeight="true" outlineLevel="0" collapsed="false">
      <c r="B49" s="11"/>
      <c r="C49" s="18"/>
      <c r="D49" s="10"/>
      <c r="E49" s="10"/>
      <c r="F49" s="10"/>
      <c r="G49" s="10"/>
      <c r="H49" s="19" t="str">
        <f aca="false">IF(B49="","",TEXT(B49,"YYYY-MM"))</f>
        <v/>
      </c>
      <c r="I49" s="10"/>
    </row>
    <row r="50" customFormat="false" ht="15" hidden="false" customHeight="true" outlineLevel="0" collapsed="false">
      <c r="B50" s="11"/>
      <c r="C50" s="18"/>
      <c r="D50" s="10"/>
      <c r="E50" s="10"/>
      <c r="F50" s="10"/>
      <c r="G50" s="10"/>
      <c r="H50" s="19" t="str">
        <f aca="false">IF(B50="","",TEXT(B50,"YYYY-MM"))</f>
        <v/>
      </c>
      <c r="I50" s="10"/>
    </row>
    <row r="51" customFormat="false" ht="15" hidden="false" customHeight="true" outlineLevel="0" collapsed="false">
      <c r="B51" s="11"/>
      <c r="C51" s="18"/>
      <c r="D51" s="10"/>
      <c r="E51" s="10"/>
      <c r="F51" s="10"/>
      <c r="G51" s="10"/>
      <c r="H51" s="19" t="str">
        <f aca="false">IF(B51="","",TEXT(B51,"YYYY-MM"))</f>
        <v/>
      </c>
      <c r="I51" s="10"/>
    </row>
    <row r="52" customFormat="false" ht="15" hidden="false" customHeight="true" outlineLevel="0" collapsed="false">
      <c r="B52" s="11"/>
      <c r="C52" s="18"/>
      <c r="D52" s="10"/>
      <c r="E52" s="10"/>
      <c r="F52" s="10"/>
      <c r="G52" s="10"/>
      <c r="H52" s="19" t="str">
        <f aca="false">IF(B52="","",TEXT(B52,"YYYY-MM"))</f>
        <v/>
      </c>
      <c r="I52" s="10"/>
    </row>
    <row r="53" customFormat="false" ht="15" hidden="false" customHeight="true" outlineLevel="0" collapsed="false">
      <c r="B53" s="11"/>
      <c r="C53" s="18"/>
      <c r="D53" s="10"/>
      <c r="E53" s="10"/>
      <c r="F53" s="10"/>
      <c r="G53" s="10"/>
      <c r="H53" s="19" t="str">
        <f aca="false">IF(B53="","",TEXT(B53,"YYYY-MM"))</f>
        <v/>
      </c>
      <c r="I53" s="10"/>
    </row>
    <row r="54" customFormat="false" ht="15" hidden="false" customHeight="true" outlineLevel="0" collapsed="false">
      <c r="B54" s="11"/>
      <c r="C54" s="18"/>
      <c r="D54" s="10"/>
      <c r="E54" s="10"/>
      <c r="F54" s="10"/>
      <c r="G54" s="10"/>
      <c r="H54" s="19" t="str">
        <f aca="false">IF(B54="","",TEXT(B54,"YYYY-MM"))</f>
        <v/>
      </c>
      <c r="I54" s="10"/>
    </row>
    <row r="55" customFormat="false" ht="15" hidden="false" customHeight="true" outlineLevel="0" collapsed="false">
      <c r="B55" s="11"/>
      <c r="C55" s="18"/>
      <c r="D55" s="10"/>
      <c r="E55" s="10"/>
      <c r="F55" s="10"/>
      <c r="G55" s="10"/>
      <c r="H55" s="19" t="str">
        <f aca="false">IF(B55="","",TEXT(B55,"YYYY-MM"))</f>
        <v/>
      </c>
      <c r="I55" s="10"/>
    </row>
    <row r="56" customFormat="false" ht="15" hidden="false" customHeight="true" outlineLevel="0" collapsed="false">
      <c r="B56" s="11"/>
      <c r="C56" s="18"/>
      <c r="D56" s="10"/>
      <c r="E56" s="10"/>
      <c r="F56" s="10"/>
      <c r="G56" s="10"/>
      <c r="H56" s="19" t="str">
        <f aca="false">IF(B56="","",TEXT(B56,"YYYY-MM"))</f>
        <v/>
      </c>
      <c r="I56" s="10"/>
    </row>
    <row r="57" customFormat="false" ht="15" hidden="false" customHeight="true" outlineLevel="0" collapsed="false">
      <c r="B57" s="11"/>
      <c r="C57" s="18"/>
      <c r="D57" s="10"/>
      <c r="E57" s="10"/>
      <c r="F57" s="10"/>
      <c r="G57" s="10"/>
      <c r="H57" s="19" t="str">
        <f aca="false">IF(B57="","",TEXT(B57,"YYYY-MM"))</f>
        <v/>
      </c>
      <c r="I57" s="10"/>
    </row>
    <row r="58" customFormat="false" ht="15" hidden="false" customHeight="true" outlineLevel="0" collapsed="false">
      <c r="B58" s="11"/>
      <c r="C58" s="18"/>
      <c r="D58" s="10"/>
      <c r="E58" s="10"/>
      <c r="F58" s="10"/>
      <c r="G58" s="10"/>
      <c r="H58" s="19" t="str">
        <f aca="false">IF(B58="","",TEXT(B58,"YYYY-MM"))</f>
        <v/>
      </c>
      <c r="I58" s="10"/>
    </row>
    <row r="59" customFormat="false" ht="15" hidden="false" customHeight="true" outlineLevel="0" collapsed="false">
      <c r="B59" s="11"/>
      <c r="C59" s="18"/>
      <c r="D59" s="10"/>
      <c r="E59" s="10"/>
      <c r="F59" s="10"/>
      <c r="G59" s="10"/>
      <c r="H59" s="19" t="str">
        <f aca="false">IF(B59="","",TEXT(B59,"YYYY-MM"))</f>
        <v/>
      </c>
      <c r="I59" s="10"/>
    </row>
    <row r="60" customFormat="false" ht="15" hidden="false" customHeight="true" outlineLevel="0" collapsed="false">
      <c r="B60" s="11"/>
      <c r="C60" s="18"/>
      <c r="D60" s="10"/>
      <c r="E60" s="10"/>
      <c r="F60" s="10"/>
      <c r="G60" s="10"/>
      <c r="H60" s="19" t="str">
        <f aca="false">IF(B60="","",TEXT(B60,"YYYY-MM"))</f>
        <v/>
      </c>
      <c r="I60" s="10"/>
    </row>
    <row r="61" customFormat="false" ht="15" hidden="false" customHeight="true" outlineLevel="0" collapsed="false">
      <c r="B61" s="11"/>
      <c r="C61" s="18"/>
      <c r="D61" s="10"/>
      <c r="E61" s="10"/>
      <c r="F61" s="10"/>
      <c r="G61" s="10"/>
      <c r="H61" s="19" t="str">
        <f aca="false">IF(B61="","",TEXT(B61,"YYYY-MM"))</f>
        <v/>
      </c>
      <c r="I61" s="10"/>
    </row>
    <row r="62" customFormat="false" ht="15" hidden="false" customHeight="true" outlineLevel="0" collapsed="false">
      <c r="B62" s="11"/>
      <c r="C62" s="18"/>
      <c r="D62" s="10"/>
      <c r="E62" s="10"/>
      <c r="F62" s="10"/>
      <c r="G62" s="10"/>
      <c r="H62" s="19" t="str">
        <f aca="false">IF(B62="","",TEXT(B62,"YYYY-MM"))</f>
        <v/>
      </c>
      <c r="I62" s="10"/>
    </row>
    <row r="63" customFormat="false" ht="15" hidden="false" customHeight="true" outlineLevel="0" collapsed="false">
      <c r="B63" s="11"/>
      <c r="C63" s="18"/>
      <c r="D63" s="10"/>
      <c r="E63" s="10"/>
      <c r="F63" s="10"/>
      <c r="G63" s="10"/>
      <c r="H63" s="19" t="str">
        <f aca="false">IF(B63="","",TEXT(B63,"YYYY-MM"))</f>
        <v/>
      </c>
      <c r="I63" s="10"/>
    </row>
    <row r="64" customFormat="false" ht="15" hidden="false" customHeight="true" outlineLevel="0" collapsed="false">
      <c r="B64" s="11"/>
      <c r="C64" s="18"/>
      <c r="D64" s="10"/>
      <c r="E64" s="10"/>
      <c r="F64" s="10"/>
      <c r="G64" s="10"/>
      <c r="H64" s="19" t="str">
        <f aca="false">IF(B64="","",TEXT(B64,"YYYY-MM"))</f>
        <v/>
      </c>
      <c r="I64" s="10"/>
    </row>
    <row r="65" customFormat="false" ht="15" hidden="false" customHeight="true" outlineLevel="0" collapsed="false">
      <c r="B65" s="11"/>
      <c r="C65" s="18"/>
      <c r="D65" s="10"/>
      <c r="E65" s="10"/>
      <c r="F65" s="10"/>
      <c r="G65" s="10"/>
      <c r="H65" s="19" t="str">
        <f aca="false">IF(B65="","",TEXT(B65,"YYYY-MM"))</f>
        <v/>
      </c>
      <c r="I65" s="10"/>
    </row>
    <row r="66" customFormat="false" ht="15" hidden="false" customHeight="true" outlineLevel="0" collapsed="false">
      <c r="B66" s="11"/>
      <c r="C66" s="18"/>
      <c r="D66" s="10"/>
      <c r="E66" s="10"/>
      <c r="F66" s="10"/>
      <c r="G66" s="10"/>
      <c r="H66" s="19" t="str">
        <f aca="false">IF(B66="","",TEXT(B66,"YYYY-MM"))</f>
        <v/>
      </c>
      <c r="I66" s="10"/>
    </row>
    <row r="67" customFormat="false" ht="15" hidden="false" customHeight="true" outlineLevel="0" collapsed="false">
      <c r="B67" s="11"/>
      <c r="C67" s="18"/>
      <c r="D67" s="10"/>
      <c r="E67" s="10"/>
      <c r="F67" s="10"/>
      <c r="G67" s="10"/>
      <c r="H67" s="19" t="str">
        <f aca="false">IF(B67="","",TEXT(B67,"YYYY-MM"))</f>
        <v/>
      </c>
      <c r="I67" s="10"/>
    </row>
    <row r="68" customFormat="false" ht="15" hidden="false" customHeight="true" outlineLevel="0" collapsed="false">
      <c r="B68" s="11"/>
      <c r="C68" s="18"/>
      <c r="D68" s="10"/>
      <c r="E68" s="10"/>
      <c r="F68" s="10"/>
      <c r="G68" s="10"/>
      <c r="H68" s="19" t="str">
        <f aca="false">IF(B68="","",TEXT(B68,"YYYY-MM"))</f>
        <v/>
      </c>
      <c r="I68" s="10"/>
    </row>
    <row r="69" customFormat="false" ht="15" hidden="false" customHeight="true" outlineLevel="0" collapsed="false">
      <c r="B69" s="11"/>
      <c r="C69" s="18"/>
      <c r="D69" s="10"/>
      <c r="E69" s="10"/>
      <c r="F69" s="10"/>
      <c r="G69" s="10"/>
      <c r="H69" s="19" t="str">
        <f aca="false">IF(B69="","",TEXT(B69,"YYYY-MM"))</f>
        <v/>
      </c>
      <c r="I69" s="10"/>
    </row>
    <row r="70" customFormat="false" ht="15" hidden="false" customHeight="true" outlineLevel="0" collapsed="false">
      <c r="B70" s="11"/>
      <c r="C70" s="18"/>
      <c r="D70" s="10"/>
      <c r="E70" s="10"/>
      <c r="F70" s="10"/>
      <c r="G70" s="10"/>
      <c r="H70" s="19" t="str">
        <f aca="false">IF(B70="","",TEXT(B70,"YYYY-MM"))</f>
        <v/>
      </c>
      <c r="I70" s="10"/>
    </row>
    <row r="71" customFormat="false" ht="15" hidden="false" customHeight="true" outlineLevel="0" collapsed="false">
      <c r="B71" s="11"/>
      <c r="C71" s="18"/>
      <c r="D71" s="10"/>
      <c r="E71" s="10"/>
      <c r="F71" s="10"/>
      <c r="G71" s="10"/>
      <c r="H71" s="19" t="str">
        <f aca="false">IF(B71="","",TEXT(B71,"YYYY-MM"))</f>
        <v/>
      </c>
      <c r="I71" s="10"/>
    </row>
    <row r="72" customFormat="false" ht="15" hidden="false" customHeight="true" outlineLevel="0" collapsed="false">
      <c r="B72" s="11"/>
      <c r="C72" s="18"/>
      <c r="D72" s="10"/>
      <c r="E72" s="10"/>
      <c r="F72" s="10"/>
      <c r="G72" s="10"/>
      <c r="H72" s="19" t="str">
        <f aca="false">IF(B72="","",TEXT(B72,"YYYY-MM"))</f>
        <v/>
      </c>
      <c r="I72" s="10"/>
    </row>
    <row r="73" customFormat="false" ht="15" hidden="false" customHeight="true" outlineLevel="0" collapsed="false">
      <c r="B73" s="11"/>
      <c r="C73" s="18"/>
      <c r="D73" s="10"/>
      <c r="E73" s="10"/>
      <c r="F73" s="10"/>
      <c r="G73" s="10"/>
      <c r="H73" s="19" t="str">
        <f aca="false">IF(B73="","",TEXT(B73,"YYYY-MM"))</f>
        <v/>
      </c>
      <c r="I73" s="10"/>
    </row>
    <row r="74" customFormat="false" ht="15" hidden="false" customHeight="true" outlineLevel="0" collapsed="false">
      <c r="B74" s="11"/>
      <c r="C74" s="18"/>
      <c r="D74" s="10"/>
      <c r="E74" s="10"/>
      <c r="F74" s="10"/>
      <c r="G74" s="10"/>
      <c r="H74" s="19" t="str">
        <f aca="false">IF(B74="","",TEXT(B74,"YYYY-MM"))</f>
        <v/>
      </c>
      <c r="I74" s="10"/>
    </row>
    <row r="75" customFormat="false" ht="15" hidden="false" customHeight="true" outlineLevel="0" collapsed="false">
      <c r="B75" s="11"/>
      <c r="C75" s="18"/>
      <c r="D75" s="10"/>
      <c r="E75" s="10"/>
      <c r="F75" s="10"/>
      <c r="G75" s="10"/>
      <c r="H75" s="19" t="str">
        <f aca="false">IF(B75="","",TEXT(B75,"YYYY-MM"))</f>
        <v/>
      </c>
      <c r="I75" s="10"/>
    </row>
    <row r="76" customFormat="false" ht="15" hidden="false" customHeight="true" outlineLevel="0" collapsed="false">
      <c r="B76" s="11"/>
      <c r="C76" s="18"/>
      <c r="D76" s="10"/>
      <c r="E76" s="10"/>
      <c r="F76" s="10"/>
      <c r="G76" s="10"/>
      <c r="H76" s="19" t="str">
        <f aca="false">IF(B76="","",TEXT(B76,"YYYY-MM"))</f>
        <v/>
      </c>
      <c r="I76" s="10"/>
    </row>
    <row r="77" customFormat="false" ht="15" hidden="false" customHeight="true" outlineLevel="0" collapsed="false">
      <c r="B77" s="11"/>
      <c r="C77" s="18"/>
      <c r="D77" s="10"/>
      <c r="E77" s="10"/>
      <c r="F77" s="10"/>
      <c r="G77" s="10"/>
      <c r="H77" s="19" t="str">
        <f aca="false">IF(B77="","",TEXT(B77,"YYYY-MM"))</f>
        <v/>
      </c>
      <c r="I77" s="10"/>
    </row>
    <row r="78" customFormat="false" ht="15" hidden="false" customHeight="true" outlineLevel="0" collapsed="false">
      <c r="B78" s="11"/>
      <c r="C78" s="18"/>
      <c r="D78" s="10"/>
      <c r="E78" s="10"/>
      <c r="F78" s="10"/>
      <c r="G78" s="10"/>
      <c r="H78" s="19" t="str">
        <f aca="false">IF(B78="","",TEXT(B78,"YYYY-MM"))</f>
        <v/>
      </c>
      <c r="I78" s="10"/>
    </row>
    <row r="79" customFormat="false" ht="15" hidden="false" customHeight="true" outlineLevel="0" collapsed="false">
      <c r="B79" s="11"/>
      <c r="C79" s="18"/>
      <c r="D79" s="10"/>
      <c r="E79" s="10"/>
      <c r="F79" s="10"/>
      <c r="G79" s="10"/>
      <c r="H79" s="19" t="str">
        <f aca="false">IF(B79="","",TEXT(B79,"YYYY-MM"))</f>
        <v/>
      </c>
      <c r="I79" s="10"/>
    </row>
    <row r="80" customFormat="false" ht="15" hidden="false" customHeight="true" outlineLevel="0" collapsed="false">
      <c r="B80" s="11"/>
      <c r="C80" s="18"/>
      <c r="D80" s="10"/>
      <c r="E80" s="10"/>
      <c r="F80" s="10"/>
      <c r="G80" s="10"/>
      <c r="H80" s="19" t="str">
        <f aca="false">IF(B80="","",TEXT(B80,"YYYY-MM"))</f>
        <v/>
      </c>
      <c r="I80" s="10"/>
    </row>
    <row r="81" customFormat="false" ht="15" hidden="false" customHeight="true" outlineLevel="0" collapsed="false">
      <c r="B81" s="11"/>
      <c r="C81" s="18"/>
      <c r="D81" s="10"/>
      <c r="E81" s="10"/>
      <c r="F81" s="10"/>
      <c r="G81" s="10"/>
      <c r="H81" s="19" t="str">
        <f aca="false">IF(B81="","",TEXT(B81,"YYYY-MM"))</f>
        <v/>
      </c>
      <c r="I81" s="10"/>
    </row>
    <row r="82" customFormat="false" ht="15" hidden="false" customHeight="true" outlineLevel="0" collapsed="false">
      <c r="B82" s="11"/>
      <c r="C82" s="18"/>
      <c r="D82" s="10"/>
      <c r="E82" s="10"/>
      <c r="F82" s="10"/>
      <c r="G82" s="10"/>
      <c r="H82" s="19" t="str">
        <f aca="false">IF(B82="","",TEXT(B82,"YYYY-MM"))</f>
        <v/>
      </c>
      <c r="I82" s="10"/>
    </row>
    <row r="83" customFormat="false" ht="15" hidden="false" customHeight="true" outlineLevel="0" collapsed="false">
      <c r="B83" s="11"/>
      <c r="C83" s="18"/>
      <c r="D83" s="10"/>
      <c r="E83" s="10"/>
      <c r="F83" s="10"/>
      <c r="G83" s="10"/>
      <c r="H83" s="19" t="str">
        <f aca="false">IF(B83="","",TEXT(B83,"YYYY-MM"))</f>
        <v/>
      </c>
      <c r="I83" s="10"/>
    </row>
    <row r="84" customFormat="false" ht="15" hidden="false" customHeight="true" outlineLevel="0" collapsed="false">
      <c r="B84" s="11"/>
      <c r="C84" s="18"/>
      <c r="D84" s="10"/>
      <c r="E84" s="10"/>
      <c r="F84" s="10"/>
      <c r="G84" s="10"/>
      <c r="H84" s="19" t="str">
        <f aca="false">IF(B84="","",TEXT(B84,"YYYY-MM"))</f>
        <v/>
      </c>
      <c r="I84" s="10"/>
    </row>
    <row r="85" customFormat="false" ht="15" hidden="false" customHeight="true" outlineLevel="0" collapsed="false">
      <c r="B85" s="11"/>
      <c r="C85" s="18"/>
      <c r="D85" s="10"/>
      <c r="E85" s="10"/>
      <c r="F85" s="10"/>
      <c r="G85" s="10"/>
      <c r="H85" s="19" t="str">
        <f aca="false">IF(B85="","",TEXT(B85,"YYYY-MM"))</f>
        <v/>
      </c>
      <c r="I85" s="10"/>
    </row>
    <row r="86" customFormat="false" ht="15" hidden="false" customHeight="true" outlineLevel="0" collapsed="false">
      <c r="B86" s="11"/>
      <c r="C86" s="18"/>
      <c r="D86" s="10"/>
      <c r="E86" s="10"/>
      <c r="F86" s="10"/>
      <c r="G86" s="10"/>
      <c r="H86" s="19" t="str">
        <f aca="false">IF(B86="","",TEXT(B86,"YYYY-MM"))</f>
        <v/>
      </c>
      <c r="I86" s="10"/>
    </row>
    <row r="87" customFormat="false" ht="15" hidden="false" customHeight="true" outlineLevel="0" collapsed="false">
      <c r="B87" s="11"/>
      <c r="C87" s="18"/>
      <c r="D87" s="10"/>
      <c r="E87" s="10"/>
      <c r="F87" s="10"/>
      <c r="G87" s="10"/>
      <c r="H87" s="19" t="str">
        <f aca="false">IF(B87="","",TEXT(B87,"YYYY-MM"))</f>
        <v/>
      </c>
      <c r="I87" s="10"/>
    </row>
    <row r="88" customFormat="false" ht="15" hidden="false" customHeight="true" outlineLevel="0" collapsed="false">
      <c r="B88" s="11"/>
      <c r="C88" s="18"/>
      <c r="D88" s="10"/>
      <c r="E88" s="10"/>
      <c r="F88" s="10"/>
      <c r="G88" s="10"/>
      <c r="H88" s="19" t="str">
        <f aca="false">IF(B88="","",TEXT(B88,"YYYY-MM"))</f>
        <v/>
      </c>
      <c r="I88" s="10"/>
    </row>
    <row r="89" customFormat="false" ht="15" hidden="false" customHeight="true" outlineLevel="0" collapsed="false">
      <c r="B89" s="11"/>
      <c r="C89" s="18"/>
      <c r="D89" s="10"/>
      <c r="E89" s="10"/>
      <c r="F89" s="10"/>
      <c r="G89" s="10"/>
      <c r="H89" s="19" t="str">
        <f aca="false">IF(B89="","",TEXT(B89,"YYYY-MM"))</f>
        <v/>
      </c>
      <c r="I89" s="10"/>
    </row>
    <row r="90" customFormat="false" ht="15" hidden="false" customHeight="true" outlineLevel="0" collapsed="false">
      <c r="B90" s="11"/>
      <c r="C90" s="18"/>
      <c r="D90" s="10"/>
      <c r="E90" s="10"/>
      <c r="F90" s="10"/>
      <c r="G90" s="10"/>
      <c r="H90" s="19" t="str">
        <f aca="false">IF(B90="","",TEXT(B90,"YYYY-MM"))</f>
        <v/>
      </c>
      <c r="I90" s="10"/>
    </row>
    <row r="91" customFormat="false" ht="15" hidden="false" customHeight="true" outlineLevel="0" collapsed="false">
      <c r="B91" s="11"/>
      <c r="C91" s="18"/>
      <c r="D91" s="10"/>
      <c r="E91" s="10"/>
      <c r="F91" s="10"/>
      <c r="G91" s="10"/>
      <c r="H91" s="19" t="str">
        <f aca="false">IF(B91="","",TEXT(B91,"YYYY-MM"))</f>
        <v/>
      </c>
      <c r="I91" s="10"/>
    </row>
    <row r="92" customFormat="false" ht="15" hidden="false" customHeight="true" outlineLevel="0" collapsed="false">
      <c r="B92" s="11"/>
      <c r="C92" s="18"/>
      <c r="D92" s="10"/>
      <c r="E92" s="10"/>
      <c r="F92" s="10"/>
      <c r="G92" s="10"/>
      <c r="H92" s="19" t="str">
        <f aca="false">IF(B92="","",TEXT(B92,"YYYY-MM"))</f>
        <v/>
      </c>
      <c r="I92" s="10"/>
    </row>
    <row r="93" customFormat="false" ht="15" hidden="false" customHeight="true" outlineLevel="0" collapsed="false">
      <c r="B93" s="11"/>
      <c r="C93" s="18"/>
      <c r="D93" s="10"/>
      <c r="E93" s="10"/>
      <c r="F93" s="10"/>
      <c r="G93" s="10"/>
      <c r="H93" s="19" t="str">
        <f aca="false">IF(B93="","",TEXT(B93,"YYYY-MM"))</f>
        <v/>
      </c>
      <c r="I93" s="10"/>
    </row>
    <row r="94" customFormat="false" ht="15" hidden="false" customHeight="true" outlineLevel="0" collapsed="false">
      <c r="B94" s="11"/>
      <c r="C94" s="18"/>
      <c r="D94" s="10"/>
      <c r="E94" s="10"/>
      <c r="F94" s="10"/>
      <c r="G94" s="10"/>
      <c r="H94" s="19" t="str">
        <f aca="false">IF(B94="","",TEXT(B94,"YYYY-MM"))</f>
        <v/>
      </c>
      <c r="I94" s="10"/>
    </row>
    <row r="95" customFormat="false" ht="15" hidden="false" customHeight="true" outlineLevel="0" collapsed="false">
      <c r="B95" s="11"/>
      <c r="C95" s="18"/>
      <c r="D95" s="10"/>
      <c r="E95" s="10"/>
      <c r="F95" s="10"/>
      <c r="G95" s="10"/>
      <c r="H95" s="19" t="str">
        <f aca="false">IF(B95="","",TEXT(B95,"YYYY-MM"))</f>
        <v/>
      </c>
      <c r="I95" s="10"/>
    </row>
    <row r="96" customFormat="false" ht="15" hidden="false" customHeight="true" outlineLevel="0" collapsed="false">
      <c r="B96" s="11"/>
      <c r="C96" s="18"/>
      <c r="D96" s="10"/>
      <c r="E96" s="10"/>
      <c r="F96" s="10"/>
      <c r="G96" s="10"/>
      <c r="H96" s="19" t="str">
        <f aca="false">IF(B96="","",TEXT(B96,"YYYY-MM"))</f>
        <v/>
      </c>
      <c r="I96" s="10"/>
    </row>
    <row r="97" customFormat="false" ht="15" hidden="false" customHeight="true" outlineLevel="0" collapsed="false">
      <c r="B97" s="11"/>
      <c r="C97" s="18"/>
      <c r="D97" s="10"/>
      <c r="E97" s="10"/>
      <c r="F97" s="10"/>
      <c r="G97" s="10"/>
      <c r="H97" s="19" t="str">
        <f aca="false">IF(B97="","",TEXT(B97,"YYYY-MM"))</f>
        <v/>
      </c>
      <c r="I97" s="10"/>
    </row>
    <row r="98" customFormat="false" ht="15" hidden="false" customHeight="true" outlineLevel="0" collapsed="false">
      <c r="B98" s="11"/>
      <c r="C98" s="18"/>
      <c r="D98" s="10"/>
      <c r="E98" s="10"/>
      <c r="F98" s="10"/>
      <c r="G98" s="10"/>
      <c r="H98" s="19" t="str">
        <f aca="false">IF(B98="","",TEXT(B98,"YYYY-MM"))</f>
        <v/>
      </c>
      <c r="I98" s="10"/>
    </row>
    <row r="99" customFormat="false" ht="15" hidden="false" customHeight="true" outlineLevel="0" collapsed="false">
      <c r="B99" s="11"/>
      <c r="C99" s="18"/>
      <c r="D99" s="10"/>
      <c r="E99" s="10"/>
      <c r="F99" s="10"/>
      <c r="G99" s="10"/>
      <c r="H99" s="19" t="str">
        <f aca="false">IF(B99="","",TEXT(B99,"YYYY-MM"))</f>
        <v/>
      </c>
      <c r="I99" s="10"/>
    </row>
    <row r="100" customFormat="false" ht="15" hidden="false" customHeight="true" outlineLevel="0" collapsed="false">
      <c r="B100" s="11"/>
      <c r="C100" s="18"/>
      <c r="D100" s="10"/>
      <c r="E100" s="10"/>
      <c r="F100" s="10"/>
      <c r="G100" s="10"/>
      <c r="H100" s="19" t="str">
        <f aca="false">IF(B100="","",TEXT(B100,"YYYY-MM"))</f>
        <v/>
      </c>
      <c r="I100" s="10"/>
    </row>
    <row r="101" customFormat="false" ht="15" hidden="false" customHeight="true" outlineLevel="0" collapsed="false">
      <c r="B101" s="11"/>
      <c r="C101" s="18"/>
      <c r="D101" s="10"/>
      <c r="E101" s="10"/>
      <c r="F101" s="10"/>
      <c r="G101" s="10"/>
      <c r="H101" s="19" t="str">
        <f aca="false">IF(B101="","",TEXT(B101,"YYYY-MM"))</f>
        <v/>
      </c>
      <c r="I101" s="10"/>
    </row>
    <row r="102" customFormat="false" ht="15" hidden="false" customHeight="true" outlineLevel="0" collapsed="false">
      <c r="B102" s="11"/>
      <c r="C102" s="18"/>
      <c r="D102" s="10"/>
      <c r="E102" s="10"/>
      <c r="F102" s="10"/>
      <c r="G102" s="10"/>
      <c r="H102" s="19" t="str">
        <f aca="false">IF(B102="","",TEXT(B102,"YYYY-MM"))</f>
        <v/>
      </c>
      <c r="I102" s="10"/>
    </row>
    <row r="103" customFormat="false" ht="15" hidden="false" customHeight="true" outlineLevel="0" collapsed="false">
      <c r="B103" s="11"/>
      <c r="C103" s="18"/>
      <c r="D103" s="10"/>
      <c r="E103" s="10"/>
      <c r="F103" s="10"/>
      <c r="G103" s="10"/>
      <c r="H103" s="19" t="str">
        <f aca="false">IF(B103="","",TEXT(B103,"YYYY-MM"))</f>
        <v/>
      </c>
      <c r="I103" s="10"/>
    </row>
    <row r="104" customFormat="false" ht="15" hidden="false" customHeight="true" outlineLevel="0" collapsed="false">
      <c r="B104" s="11"/>
      <c r="C104" s="18"/>
      <c r="D104" s="10"/>
      <c r="E104" s="10"/>
      <c r="F104" s="10"/>
      <c r="G104" s="10"/>
      <c r="H104" s="19" t="str">
        <f aca="false">IF(B104="","",TEXT(B104,"YYYY-MM"))</f>
        <v/>
      </c>
      <c r="I104" s="10"/>
    </row>
    <row r="105" customFormat="false" ht="15" hidden="false" customHeight="true" outlineLevel="0" collapsed="false">
      <c r="B105" s="11"/>
      <c r="C105" s="18"/>
      <c r="D105" s="10"/>
      <c r="E105" s="10"/>
      <c r="F105" s="10"/>
      <c r="G105" s="10"/>
      <c r="H105" s="19" t="str">
        <f aca="false">IF(B105="","",TEXT(B105,"YYYY-MM"))</f>
        <v/>
      </c>
      <c r="I105" s="10"/>
    </row>
    <row r="106" customFormat="false" ht="15" hidden="false" customHeight="true" outlineLevel="0" collapsed="false">
      <c r="B106" s="11"/>
      <c r="C106" s="18"/>
      <c r="D106" s="10"/>
      <c r="E106" s="10"/>
      <c r="F106" s="10"/>
      <c r="G106" s="10"/>
      <c r="H106" s="19" t="str">
        <f aca="false">IF(B106="","",TEXT(B106,"YYYY-MM"))</f>
        <v/>
      </c>
      <c r="I106" s="10"/>
    </row>
    <row r="107" customFormat="false" ht="15" hidden="false" customHeight="true" outlineLevel="0" collapsed="false">
      <c r="B107" s="11"/>
      <c r="C107" s="18"/>
      <c r="D107" s="10"/>
      <c r="E107" s="10"/>
      <c r="F107" s="10"/>
      <c r="G107" s="10"/>
      <c r="H107" s="19" t="str">
        <f aca="false">IF(B107="","",TEXT(B107,"YYYY-MM"))</f>
        <v/>
      </c>
      <c r="I107" s="10"/>
    </row>
    <row r="108" customFormat="false" ht="15" hidden="false" customHeight="true" outlineLevel="0" collapsed="false">
      <c r="B108" s="11"/>
      <c r="C108" s="18"/>
      <c r="D108" s="10"/>
      <c r="E108" s="10"/>
      <c r="F108" s="10"/>
      <c r="G108" s="10"/>
      <c r="H108" s="19" t="str">
        <f aca="false">IF(B108="","",TEXT(B108,"YYYY-MM"))</f>
        <v/>
      </c>
      <c r="I108" s="10"/>
    </row>
    <row r="109" customFormat="false" ht="15" hidden="false" customHeight="true" outlineLevel="0" collapsed="false">
      <c r="B109" s="11"/>
      <c r="C109" s="18"/>
      <c r="D109" s="10"/>
      <c r="E109" s="10"/>
      <c r="F109" s="10"/>
      <c r="G109" s="10"/>
      <c r="H109" s="19" t="str">
        <f aca="false">IF(B109="","",TEXT(B109,"YYYY-MM"))</f>
        <v/>
      </c>
      <c r="I109" s="10"/>
    </row>
    <row r="110" customFormat="false" ht="15" hidden="false" customHeight="true" outlineLevel="0" collapsed="false">
      <c r="B110" s="11"/>
      <c r="C110" s="18"/>
      <c r="D110" s="10"/>
      <c r="E110" s="10"/>
      <c r="F110" s="10"/>
      <c r="G110" s="10"/>
      <c r="H110" s="19" t="str">
        <f aca="false">IF(B110="","",TEXT(B110,"YYYY-MM"))</f>
        <v/>
      </c>
      <c r="I110" s="10"/>
    </row>
    <row r="111" customFormat="false" ht="15" hidden="false" customHeight="true" outlineLevel="0" collapsed="false">
      <c r="B111" s="11"/>
      <c r="C111" s="18"/>
      <c r="D111" s="10"/>
      <c r="E111" s="10"/>
      <c r="F111" s="10"/>
      <c r="G111" s="10"/>
      <c r="H111" s="19" t="str">
        <f aca="false">IF(B111="","",TEXT(B111,"YYYY-MM"))</f>
        <v/>
      </c>
      <c r="I111" s="10"/>
    </row>
    <row r="112" customFormat="false" ht="15" hidden="false" customHeight="true" outlineLevel="0" collapsed="false">
      <c r="B112" s="11"/>
      <c r="C112" s="18"/>
      <c r="D112" s="10"/>
      <c r="E112" s="10"/>
      <c r="F112" s="10"/>
      <c r="G112" s="10"/>
      <c r="H112" s="19" t="str">
        <f aca="false">IF(B112="","",TEXT(B112,"YYYY-MM"))</f>
        <v/>
      </c>
      <c r="I112" s="10"/>
    </row>
    <row r="113" customFormat="false" ht="15" hidden="false" customHeight="true" outlineLevel="0" collapsed="false">
      <c r="B113" s="11"/>
      <c r="C113" s="18"/>
      <c r="D113" s="10"/>
      <c r="E113" s="10"/>
      <c r="F113" s="10"/>
      <c r="G113" s="10"/>
      <c r="H113" s="19" t="str">
        <f aca="false">IF(B113="","",TEXT(B113,"YYYY-MM"))</f>
        <v/>
      </c>
      <c r="I113" s="10"/>
    </row>
    <row r="114" customFormat="false" ht="15" hidden="false" customHeight="true" outlineLevel="0" collapsed="false">
      <c r="B114" s="11"/>
      <c r="C114" s="18"/>
      <c r="D114" s="10"/>
      <c r="E114" s="10"/>
      <c r="F114" s="10"/>
      <c r="G114" s="10"/>
      <c r="H114" s="19" t="str">
        <f aca="false">IF(B114="","",TEXT(B114,"YYYY-MM"))</f>
        <v/>
      </c>
      <c r="I114" s="10"/>
    </row>
    <row r="115" customFormat="false" ht="15" hidden="false" customHeight="true" outlineLevel="0" collapsed="false">
      <c r="B115" s="11"/>
      <c r="C115" s="18"/>
      <c r="D115" s="10"/>
      <c r="E115" s="10"/>
      <c r="F115" s="10"/>
      <c r="G115" s="10"/>
      <c r="H115" s="19" t="str">
        <f aca="false">IF(B115="","",TEXT(B115,"YYYY-MM"))</f>
        <v/>
      </c>
      <c r="I115" s="10"/>
    </row>
    <row r="116" customFormat="false" ht="15" hidden="false" customHeight="true" outlineLevel="0" collapsed="false">
      <c r="B116" s="11"/>
      <c r="C116" s="18"/>
      <c r="D116" s="10"/>
      <c r="E116" s="10"/>
      <c r="F116" s="10"/>
      <c r="G116" s="10"/>
      <c r="H116" s="19" t="str">
        <f aca="false">IF(B116="","",TEXT(B116,"YYYY-MM"))</f>
        <v/>
      </c>
      <c r="I116" s="10"/>
    </row>
    <row r="117" customFormat="false" ht="15" hidden="false" customHeight="true" outlineLevel="0" collapsed="false">
      <c r="B117" s="11"/>
      <c r="C117" s="18"/>
      <c r="D117" s="10"/>
      <c r="E117" s="10"/>
      <c r="F117" s="10"/>
      <c r="G117" s="10"/>
      <c r="H117" s="19" t="str">
        <f aca="false">IF(B117="","",TEXT(B117,"YYYY-MM"))</f>
        <v/>
      </c>
      <c r="I117" s="10"/>
    </row>
    <row r="118" customFormat="false" ht="15" hidden="false" customHeight="true" outlineLevel="0" collapsed="false">
      <c r="B118" s="11"/>
      <c r="C118" s="18"/>
      <c r="D118" s="10"/>
      <c r="E118" s="10"/>
      <c r="F118" s="10"/>
      <c r="G118" s="10"/>
      <c r="H118" s="19" t="str">
        <f aca="false">IF(B118="","",TEXT(B118,"YYYY-MM"))</f>
        <v/>
      </c>
      <c r="I118" s="10"/>
    </row>
    <row r="119" customFormat="false" ht="15" hidden="false" customHeight="true" outlineLevel="0" collapsed="false">
      <c r="B119" s="11"/>
      <c r="C119" s="18"/>
      <c r="D119" s="10"/>
      <c r="E119" s="10"/>
      <c r="F119" s="10"/>
      <c r="G119" s="10"/>
      <c r="H119" s="19" t="str">
        <f aca="false">IF(B119="","",TEXT(B119,"YYYY-MM"))</f>
        <v/>
      </c>
      <c r="I119" s="10"/>
    </row>
    <row r="120" customFormat="false" ht="15" hidden="false" customHeight="true" outlineLevel="0" collapsed="false">
      <c r="B120" s="11"/>
      <c r="C120" s="18"/>
      <c r="D120" s="10"/>
      <c r="E120" s="10"/>
      <c r="F120" s="10"/>
      <c r="G120" s="10"/>
      <c r="H120" s="19" t="str">
        <f aca="false">IF(B120="","",TEXT(B120,"YYYY-MM"))</f>
        <v/>
      </c>
      <c r="I120" s="10"/>
    </row>
    <row r="121" customFormat="false" ht="15" hidden="false" customHeight="true" outlineLevel="0" collapsed="false">
      <c r="B121" s="11"/>
      <c r="C121" s="18"/>
      <c r="D121" s="10"/>
      <c r="E121" s="10"/>
      <c r="F121" s="10"/>
      <c r="G121" s="10"/>
      <c r="H121" s="19" t="str">
        <f aca="false">IF(B121="","",TEXT(B121,"YYYY-MM"))</f>
        <v/>
      </c>
      <c r="I121" s="10"/>
    </row>
    <row r="122" customFormat="false" ht="15" hidden="false" customHeight="true" outlineLevel="0" collapsed="false">
      <c r="B122" s="11"/>
      <c r="C122" s="18"/>
      <c r="D122" s="10"/>
      <c r="E122" s="10"/>
      <c r="F122" s="10"/>
      <c r="G122" s="10"/>
      <c r="H122" s="19" t="str">
        <f aca="false">IF(B122="","",TEXT(B122,"YYYY-MM"))</f>
        <v/>
      </c>
      <c r="I122" s="10"/>
    </row>
    <row r="123" customFormat="false" ht="15" hidden="false" customHeight="true" outlineLevel="0" collapsed="false">
      <c r="B123" s="11"/>
      <c r="C123" s="18"/>
      <c r="D123" s="10"/>
      <c r="E123" s="10"/>
      <c r="F123" s="10"/>
      <c r="G123" s="10"/>
      <c r="H123" s="19" t="str">
        <f aca="false">IF(B123="","",TEXT(B123,"YYYY-MM"))</f>
        <v/>
      </c>
      <c r="I123" s="10"/>
    </row>
    <row r="124" customFormat="false" ht="15" hidden="false" customHeight="true" outlineLevel="0" collapsed="false">
      <c r="B124" s="11"/>
      <c r="C124" s="18"/>
      <c r="D124" s="10"/>
      <c r="E124" s="10"/>
      <c r="F124" s="10"/>
      <c r="G124" s="10"/>
      <c r="H124" s="19" t="str">
        <f aca="false">IF(B124="","",TEXT(B124,"YYYY-MM"))</f>
        <v/>
      </c>
      <c r="I124" s="10"/>
    </row>
    <row r="125" customFormat="false" ht="15" hidden="false" customHeight="true" outlineLevel="0" collapsed="false">
      <c r="B125" s="11"/>
      <c r="C125" s="18"/>
      <c r="D125" s="10"/>
      <c r="E125" s="10"/>
      <c r="F125" s="10"/>
      <c r="G125" s="10"/>
      <c r="H125" s="19" t="str">
        <f aca="false">IF(B125="","",TEXT(B125,"YYYY-MM"))</f>
        <v/>
      </c>
      <c r="I125" s="10"/>
    </row>
    <row r="126" customFormat="false" ht="15" hidden="false" customHeight="true" outlineLevel="0" collapsed="false">
      <c r="B126" s="11"/>
      <c r="C126" s="18"/>
      <c r="D126" s="10"/>
      <c r="E126" s="10"/>
      <c r="F126" s="10"/>
      <c r="G126" s="10"/>
      <c r="H126" s="19" t="str">
        <f aca="false">IF(B126="","",TEXT(B126,"YYYY-MM"))</f>
        <v/>
      </c>
      <c r="I126" s="10"/>
    </row>
    <row r="127" customFormat="false" ht="15" hidden="false" customHeight="true" outlineLevel="0" collapsed="false">
      <c r="B127" s="11"/>
      <c r="C127" s="18"/>
      <c r="D127" s="10"/>
      <c r="E127" s="10"/>
      <c r="F127" s="10"/>
      <c r="G127" s="10"/>
      <c r="H127" s="19" t="str">
        <f aca="false">IF(B127="","",TEXT(B127,"YYYY-MM"))</f>
        <v/>
      </c>
      <c r="I127" s="10"/>
    </row>
    <row r="128" customFormat="false" ht="15" hidden="false" customHeight="true" outlineLevel="0" collapsed="false">
      <c r="B128" s="11"/>
      <c r="C128" s="18"/>
      <c r="D128" s="10"/>
      <c r="E128" s="10"/>
      <c r="F128" s="10"/>
      <c r="G128" s="10"/>
      <c r="H128" s="19" t="str">
        <f aca="false">IF(B128="","",TEXT(B128,"YYYY-MM"))</f>
        <v/>
      </c>
      <c r="I128" s="10"/>
    </row>
    <row r="129" customFormat="false" ht="15" hidden="false" customHeight="true" outlineLevel="0" collapsed="false">
      <c r="B129" s="11"/>
      <c r="C129" s="18"/>
      <c r="D129" s="10"/>
      <c r="E129" s="10"/>
      <c r="F129" s="10"/>
      <c r="G129" s="10"/>
      <c r="H129" s="19" t="str">
        <f aca="false">IF(B129="","",TEXT(B129,"YYYY-MM"))</f>
        <v/>
      </c>
      <c r="I129" s="10"/>
    </row>
    <row r="130" customFormat="false" ht="15" hidden="false" customHeight="true" outlineLevel="0" collapsed="false">
      <c r="B130" s="11"/>
      <c r="C130" s="18"/>
      <c r="D130" s="10"/>
      <c r="E130" s="10"/>
      <c r="F130" s="10"/>
      <c r="G130" s="10"/>
      <c r="H130" s="19" t="str">
        <f aca="false">IF(B130="","",TEXT(B130,"YYYY-MM"))</f>
        <v/>
      </c>
      <c r="I130" s="10"/>
    </row>
    <row r="131" customFormat="false" ht="15" hidden="false" customHeight="true" outlineLevel="0" collapsed="false">
      <c r="B131" s="11"/>
      <c r="C131" s="18"/>
      <c r="D131" s="10"/>
      <c r="E131" s="10"/>
      <c r="F131" s="10"/>
      <c r="G131" s="10"/>
      <c r="H131" s="19" t="str">
        <f aca="false">IF(B131="","",TEXT(B131,"YYYY-MM"))</f>
        <v/>
      </c>
      <c r="I131" s="10"/>
    </row>
    <row r="132" customFormat="false" ht="15" hidden="false" customHeight="true" outlineLevel="0" collapsed="false">
      <c r="B132" s="11"/>
      <c r="C132" s="18"/>
      <c r="D132" s="10"/>
      <c r="E132" s="10"/>
      <c r="F132" s="10"/>
      <c r="G132" s="10"/>
      <c r="H132" s="19" t="str">
        <f aca="false">IF(B132="","",TEXT(B132,"YYYY-MM"))</f>
        <v/>
      </c>
      <c r="I132" s="10"/>
    </row>
    <row r="133" customFormat="false" ht="15" hidden="false" customHeight="true" outlineLevel="0" collapsed="false">
      <c r="B133" s="11"/>
      <c r="C133" s="18"/>
      <c r="D133" s="10"/>
      <c r="E133" s="10"/>
      <c r="F133" s="10"/>
      <c r="G133" s="10"/>
      <c r="H133" s="19" t="str">
        <f aca="false">IF(B133="","",TEXT(B133,"YYYY-MM"))</f>
        <v/>
      </c>
      <c r="I133" s="10"/>
    </row>
    <row r="134" customFormat="false" ht="15" hidden="false" customHeight="true" outlineLevel="0" collapsed="false">
      <c r="B134" s="11"/>
      <c r="C134" s="18"/>
      <c r="D134" s="10"/>
      <c r="E134" s="10"/>
      <c r="F134" s="10"/>
      <c r="G134" s="10"/>
      <c r="H134" s="19" t="str">
        <f aca="false">IF(B134="","",TEXT(B134,"YYYY-MM"))</f>
        <v/>
      </c>
      <c r="I134" s="10"/>
    </row>
    <row r="135" customFormat="false" ht="15" hidden="false" customHeight="true" outlineLevel="0" collapsed="false">
      <c r="B135" s="11"/>
      <c r="C135" s="18"/>
      <c r="D135" s="10"/>
      <c r="E135" s="10"/>
      <c r="F135" s="10"/>
      <c r="G135" s="10"/>
      <c r="H135" s="19" t="str">
        <f aca="false">IF(B135="","",TEXT(B135,"YYYY-MM"))</f>
        <v/>
      </c>
      <c r="I135" s="10"/>
    </row>
    <row r="136" customFormat="false" ht="15" hidden="false" customHeight="true" outlineLevel="0" collapsed="false">
      <c r="B136" s="11"/>
      <c r="C136" s="18"/>
      <c r="D136" s="10"/>
      <c r="E136" s="10"/>
      <c r="F136" s="10"/>
      <c r="G136" s="10"/>
      <c r="H136" s="19" t="str">
        <f aca="false">IF(B136="","",TEXT(B136,"YYYY-MM"))</f>
        <v/>
      </c>
      <c r="I136" s="10"/>
    </row>
    <row r="137" customFormat="false" ht="15" hidden="false" customHeight="true" outlineLevel="0" collapsed="false">
      <c r="B137" s="11"/>
      <c r="C137" s="18"/>
      <c r="D137" s="10"/>
      <c r="E137" s="10"/>
      <c r="F137" s="10"/>
      <c r="G137" s="10"/>
      <c r="H137" s="19" t="str">
        <f aca="false">IF(B137="","",TEXT(B137,"YYYY-MM"))</f>
        <v/>
      </c>
      <c r="I137" s="10"/>
    </row>
    <row r="138" customFormat="false" ht="15" hidden="false" customHeight="true" outlineLevel="0" collapsed="false">
      <c r="B138" s="11"/>
      <c r="C138" s="18"/>
      <c r="D138" s="10"/>
      <c r="E138" s="10"/>
      <c r="F138" s="10"/>
      <c r="G138" s="10"/>
      <c r="H138" s="19" t="str">
        <f aca="false">IF(B138="","",TEXT(B138,"YYYY-MM"))</f>
        <v/>
      </c>
      <c r="I138" s="10"/>
    </row>
    <row r="139" customFormat="false" ht="15" hidden="false" customHeight="true" outlineLevel="0" collapsed="false">
      <c r="B139" s="11"/>
      <c r="C139" s="18"/>
      <c r="D139" s="10"/>
      <c r="E139" s="10"/>
      <c r="F139" s="10"/>
      <c r="G139" s="10"/>
      <c r="H139" s="19" t="str">
        <f aca="false">IF(B139="","",TEXT(B139,"YYYY-MM"))</f>
        <v/>
      </c>
      <c r="I139" s="10"/>
    </row>
    <row r="140" customFormat="false" ht="15" hidden="false" customHeight="true" outlineLevel="0" collapsed="false">
      <c r="B140" s="11"/>
      <c r="C140" s="18"/>
      <c r="D140" s="10"/>
      <c r="E140" s="10"/>
      <c r="F140" s="10"/>
      <c r="G140" s="10"/>
      <c r="H140" s="19" t="str">
        <f aca="false">IF(B140="","",TEXT(B140,"YYYY-MM"))</f>
        <v/>
      </c>
      <c r="I140" s="10"/>
    </row>
    <row r="141" customFormat="false" ht="15" hidden="false" customHeight="true" outlineLevel="0" collapsed="false">
      <c r="B141" s="11"/>
      <c r="C141" s="18"/>
      <c r="D141" s="10"/>
      <c r="E141" s="10"/>
      <c r="F141" s="10"/>
      <c r="G141" s="10"/>
      <c r="H141" s="19" t="str">
        <f aca="false">IF(B141="","",TEXT(B141,"YYYY-MM"))</f>
        <v/>
      </c>
      <c r="I141" s="10"/>
    </row>
    <row r="142" customFormat="false" ht="15" hidden="false" customHeight="true" outlineLevel="0" collapsed="false">
      <c r="B142" s="11"/>
      <c r="C142" s="18"/>
      <c r="D142" s="10"/>
      <c r="E142" s="10"/>
      <c r="F142" s="10"/>
      <c r="G142" s="10"/>
      <c r="H142" s="19" t="str">
        <f aca="false">IF(B142="","",TEXT(B142,"YYYY-MM"))</f>
        <v/>
      </c>
      <c r="I142" s="10"/>
    </row>
    <row r="143" customFormat="false" ht="15" hidden="false" customHeight="true" outlineLevel="0" collapsed="false">
      <c r="B143" s="11"/>
      <c r="C143" s="18"/>
      <c r="D143" s="10"/>
      <c r="E143" s="10"/>
      <c r="F143" s="10"/>
      <c r="G143" s="10"/>
      <c r="H143" s="19" t="str">
        <f aca="false">IF(B143="","",TEXT(B143,"YYYY-MM"))</f>
        <v/>
      </c>
      <c r="I143" s="10"/>
    </row>
    <row r="144" customFormat="false" ht="15" hidden="false" customHeight="true" outlineLevel="0" collapsed="false">
      <c r="B144" s="11"/>
      <c r="C144" s="18"/>
      <c r="D144" s="10"/>
      <c r="E144" s="10"/>
      <c r="F144" s="10"/>
      <c r="G144" s="10"/>
      <c r="H144" s="19" t="str">
        <f aca="false">IF(B144="","",TEXT(B144,"YYYY-MM"))</f>
        <v/>
      </c>
      <c r="I144" s="10"/>
    </row>
    <row r="145" customFormat="false" ht="15" hidden="false" customHeight="true" outlineLevel="0" collapsed="false">
      <c r="B145" s="11"/>
      <c r="C145" s="18"/>
      <c r="D145" s="10"/>
      <c r="E145" s="10"/>
      <c r="F145" s="10"/>
      <c r="G145" s="10"/>
      <c r="H145" s="19" t="str">
        <f aca="false">IF(B145="","",TEXT(B145,"YYYY-MM"))</f>
        <v/>
      </c>
      <c r="I145" s="10"/>
    </row>
    <row r="146" customFormat="false" ht="15" hidden="false" customHeight="true" outlineLevel="0" collapsed="false">
      <c r="B146" s="11"/>
      <c r="C146" s="18"/>
      <c r="D146" s="10"/>
      <c r="E146" s="10"/>
      <c r="F146" s="10"/>
      <c r="G146" s="10"/>
      <c r="H146" s="19" t="str">
        <f aca="false">IF(B146="","",TEXT(B146,"YYYY-MM"))</f>
        <v/>
      </c>
      <c r="I146" s="10"/>
    </row>
    <row r="147" customFormat="false" ht="15" hidden="false" customHeight="true" outlineLevel="0" collapsed="false">
      <c r="B147" s="11"/>
      <c r="C147" s="18"/>
      <c r="D147" s="10"/>
      <c r="E147" s="10"/>
      <c r="F147" s="10"/>
      <c r="G147" s="10"/>
      <c r="H147" s="19" t="str">
        <f aca="false">IF(B147="","",TEXT(B147,"YYYY-MM"))</f>
        <v/>
      </c>
      <c r="I147" s="10"/>
    </row>
    <row r="148" customFormat="false" ht="15" hidden="false" customHeight="true" outlineLevel="0" collapsed="false">
      <c r="B148" s="11"/>
      <c r="C148" s="18"/>
      <c r="D148" s="10"/>
      <c r="E148" s="10"/>
      <c r="F148" s="10"/>
      <c r="G148" s="10"/>
      <c r="H148" s="19" t="str">
        <f aca="false">IF(B148="","",TEXT(B148,"YYYY-MM"))</f>
        <v/>
      </c>
      <c r="I148" s="10"/>
    </row>
    <row r="149" customFormat="false" ht="15" hidden="false" customHeight="true" outlineLevel="0" collapsed="false">
      <c r="B149" s="11"/>
      <c r="C149" s="18"/>
      <c r="D149" s="10"/>
      <c r="E149" s="10"/>
      <c r="F149" s="10"/>
      <c r="G149" s="10"/>
      <c r="H149" s="19" t="str">
        <f aca="false">IF(B149="","",TEXT(B149,"YYYY-MM"))</f>
        <v/>
      </c>
      <c r="I149" s="10"/>
    </row>
    <row r="150" customFormat="false" ht="15" hidden="false" customHeight="true" outlineLevel="0" collapsed="false">
      <c r="B150" s="11"/>
      <c r="C150" s="18"/>
      <c r="D150" s="10"/>
      <c r="E150" s="10"/>
      <c r="F150" s="10"/>
      <c r="G150" s="10"/>
      <c r="H150" s="19" t="str">
        <f aca="false">IF(B150="","",TEXT(B150,"YYYY-MM"))</f>
        <v/>
      </c>
      <c r="I150" s="10"/>
    </row>
    <row r="151" customFormat="false" ht="15" hidden="false" customHeight="true" outlineLevel="0" collapsed="false">
      <c r="B151" s="11"/>
      <c r="C151" s="18"/>
      <c r="D151" s="10"/>
      <c r="E151" s="10"/>
      <c r="F151" s="10"/>
      <c r="G151" s="10"/>
      <c r="H151" s="19" t="str">
        <f aca="false">IF(B151="","",TEXT(B151,"YYYY-MM"))</f>
        <v/>
      </c>
      <c r="I151" s="10"/>
    </row>
    <row r="152" customFormat="false" ht="15" hidden="false" customHeight="true" outlineLevel="0" collapsed="false">
      <c r="B152" s="11"/>
      <c r="C152" s="18"/>
      <c r="D152" s="10"/>
      <c r="E152" s="10"/>
      <c r="F152" s="10"/>
      <c r="G152" s="10"/>
      <c r="H152" s="19" t="str">
        <f aca="false">IF(B152="","",TEXT(B152,"YYYY-MM"))</f>
        <v/>
      </c>
      <c r="I152" s="10"/>
    </row>
    <row r="153" customFormat="false" ht="15" hidden="false" customHeight="true" outlineLevel="0" collapsed="false">
      <c r="B153" s="11"/>
      <c r="C153" s="18"/>
      <c r="D153" s="10"/>
      <c r="E153" s="10"/>
      <c r="F153" s="10"/>
      <c r="G153" s="10"/>
      <c r="H153" s="19" t="str">
        <f aca="false">IF(B153="","",TEXT(B153,"YYYY-MM"))</f>
        <v/>
      </c>
      <c r="I153" s="10"/>
    </row>
    <row r="154" customFormat="false" ht="15" hidden="false" customHeight="true" outlineLevel="0" collapsed="false">
      <c r="B154" s="11"/>
      <c r="C154" s="18"/>
      <c r="D154" s="10"/>
      <c r="E154" s="10"/>
      <c r="F154" s="10"/>
      <c r="G154" s="10"/>
      <c r="H154" s="19" t="str">
        <f aca="false">IF(B154="","",TEXT(B154,"YYYY-MM"))</f>
        <v/>
      </c>
      <c r="I154" s="10"/>
    </row>
    <row r="155" customFormat="false" ht="15" hidden="false" customHeight="true" outlineLevel="0" collapsed="false">
      <c r="B155" s="11"/>
      <c r="C155" s="18"/>
      <c r="D155" s="10"/>
      <c r="E155" s="10"/>
      <c r="F155" s="10"/>
      <c r="G155" s="10"/>
      <c r="H155" s="19" t="str">
        <f aca="false">IF(B155="","",TEXT(B155,"YYYY-MM"))</f>
        <v/>
      </c>
      <c r="I155" s="10"/>
    </row>
    <row r="156" customFormat="false" ht="15" hidden="false" customHeight="true" outlineLevel="0" collapsed="false">
      <c r="B156" s="11"/>
      <c r="C156" s="18"/>
      <c r="D156" s="10"/>
      <c r="E156" s="10"/>
      <c r="F156" s="10"/>
      <c r="G156" s="10"/>
      <c r="H156" s="19" t="str">
        <f aca="false">IF(B156="","",TEXT(B156,"YYYY-MM"))</f>
        <v/>
      </c>
      <c r="I156" s="10"/>
    </row>
    <row r="157" customFormat="false" ht="15" hidden="false" customHeight="true" outlineLevel="0" collapsed="false">
      <c r="B157" s="11"/>
      <c r="C157" s="18"/>
      <c r="D157" s="10"/>
      <c r="E157" s="10"/>
      <c r="F157" s="10"/>
      <c r="G157" s="10"/>
      <c r="H157" s="19" t="str">
        <f aca="false">IF(B157="","",TEXT(B157,"YYYY-MM"))</f>
        <v/>
      </c>
      <c r="I157" s="10"/>
    </row>
    <row r="158" customFormat="false" ht="15" hidden="false" customHeight="true" outlineLevel="0" collapsed="false">
      <c r="B158" s="11"/>
      <c r="C158" s="18"/>
      <c r="D158" s="10"/>
      <c r="E158" s="10"/>
      <c r="F158" s="10"/>
      <c r="G158" s="10"/>
      <c r="H158" s="19" t="str">
        <f aca="false">IF(B158="","",TEXT(B158,"YYYY-MM"))</f>
        <v/>
      </c>
      <c r="I158" s="10"/>
    </row>
    <row r="159" customFormat="false" ht="15" hidden="false" customHeight="true" outlineLevel="0" collapsed="false">
      <c r="B159" s="11"/>
      <c r="C159" s="18"/>
      <c r="D159" s="10"/>
      <c r="E159" s="10"/>
      <c r="F159" s="10"/>
      <c r="G159" s="10"/>
      <c r="H159" s="19" t="str">
        <f aca="false">IF(B159="","",TEXT(B159,"YYYY-MM"))</f>
        <v/>
      </c>
      <c r="I159" s="10"/>
    </row>
    <row r="160" customFormat="false" ht="15" hidden="false" customHeight="true" outlineLevel="0" collapsed="false">
      <c r="B160" s="11"/>
      <c r="C160" s="18"/>
      <c r="D160" s="10"/>
      <c r="E160" s="10"/>
      <c r="F160" s="10"/>
      <c r="G160" s="10"/>
      <c r="H160" s="19" t="str">
        <f aca="false">IF(B160="","",TEXT(B160,"YYYY-MM"))</f>
        <v/>
      </c>
      <c r="I160" s="10"/>
    </row>
    <row r="161" customFormat="false" ht="15" hidden="false" customHeight="true" outlineLevel="0" collapsed="false">
      <c r="B161" s="11"/>
      <c r="C161" s="18"/>
      <c r="D161" s="10"/>
      <c r="E161" s="10"/>
      <c r="F161" s="10"/>
      <c r="G161" s="10"/>
      <c r="H161" s="19" t="str">
        <f aca="false">IF(B161="","",TEXT(B161,"YYYY-MM"))</f>
        <v/>
      </c>
      <c r="I161" s="10"/>
    </row>
    <row r="162" customFormat="false" ht="15" hidden="false" customHeight="true" outlineLevel="0" collapsed="false">
      <c r="B162" s="11"/>
      <c r="C162" s="18"/>
      <c r="D162" s="10"/>
      <c r="E162" s="10"/>
      <c r="F162" s="10"/>
      <c r="G162" s="10"/>
      <c r="H162" s="19" t="str">
        <f aca="false">IF(B162="","",TEXT(B162,"YYYY-MM"))</f>
        <v/>
      </c>
      <c r="I162" s="10"/>
    </row>
    <row r="163" customFormat="false" ht="15" hidden="false" customHeight="true" outlineLevel="0" collapsed="false">
      <c r="B163" s="11"/>
      <c r="C163" s="18"/>
      <c r="D163" s="10"/>
      <c r="E163" s="10"/>
      <c r="F163" s="10"/>
      <c r="G163" s="10"/>
      <c r="H163" s="19" t="str">
        <f aca="false">IF(B163="","",TEXT(B163,"YYYY-MM"))</f>
        <v/>
      </c>
      <c r="I163" s="10"/>
    </row>
    <row r="164" customFormat="false" ht="15" hidden="false" customHeight="true" outlineLevel="0" collapsed="false">
      <c r="B164" s="11"/>
      <c r="C164" s="18"/>
      <c r="D164" s="10"/>
      <c r="E164" s="10"/>
      <c r="F164" s="10"/>
      <c r="G164" s="10"/>
      <c r="H164" s="19" t="str">
        <f aca="false">IF(B164="","",TEXT(B164,"YYYY-MM"))</f>
        <v/>
      </c>
      <c r="I164" s="10"/>
    </row>
    <row r="165" customFormat="false" ht="15" hidden="false" customHeight="true" outlineLevel="0" collapsed="false">
      <c r="B165" s="11"/>
      <c r="C165" s="18"/>
      <c r="D165" s="10"/>
      <c r="E165" s="10"/>
      <c r="F165" s="10"/>
      <c r="G165" s="10"/>
      <c r="H165" s="19" t="str">
        <f aca="false">IF(B165="","",TEXT(B165,"YYYY-MM"))</f>
        <v/>
      </c>
      <c r="I165" s="10"/>
    </row>
    <row r="166" customFormat="false" ht="15" hidden="false" customHeight="true" outlineLevel="0" collapsed="false">
      <c r="B166" s="11"/>
      <c r="C166" s="18"/>
      <c r="D166" s="10"/>
      <c r="E166" s="10"/>
      <c r="F166" s="10"/>
      <c r="G166" s="10"/>
      <c r="H166" s="19" t="str">
        <f aca="false">IF(B166="","",TEXT(B166,"YYYY-MM"))</f>
        <v/>
      </c>
      <c r="I166" s="10"/>
    </row>
    <row r="167" customFormat="false" ht="15" hidden="false" customHeight="true" outlineLevel="0" collapsed="false">
      <c r="B167" s="11"/>
      <c r="C167" s="18"/>
      <c r="D167" s="10"/>
      <c r="E167" s="10"/>
      <c r="F167" s="10"/>
      <c r="G167" s="10"/>
      <c r="H167" s="19" t="str">
        <f aca="false">IF(B167="","",TEXT(B167,"YYYY-MM"))</f>
        <v/>
      </c>
      <c r="I167" s="10"/>
    </row>
    <row r="168" customFormat="false" ht="15" hidden="false" customHeight="true" outlineLevel="0" collapsed="false">
      <c r="B168" s="11"/>
      <c r="C168" s="18"/>
      <c r="D168" s="10"/>
      <c r="E168" s="10"/>
      <c r="F168" s="10"/>
      <c r="G168" s="10"/>
      <c r="H168" s="19" t="str">
        <f aca="false">IF(B168="","",TEXT(B168,"YYYY-MM"))</f>
        <v/>
      </c>
      <c r="I168" s="10"/>
    </row>
    <row r="169" customFormat="false" ht="15" hidden="false" customHeight="true" outlineLevel="0" collapsed="false">
      <c r="B169" s="11"/>
      <c r="C169" s="18"/>
      <c r="D169" s="10"/>
      <c r="E169" s="10"/>
      <c r="F169" s="10"/>
      <c r="G169" s="10"/>
      <c r="H169" s="19" t="str">
        <f aca="false">IF(B169="","",TEXT(B169,"YYYY-MM"))</f>
        <v/>
      </c>
      <c r="I169" s="10"/>
    </row>
    <row r="170" customFormat="false" ht="15" hidden="false" customHeight="true" outlineLevel="0" collapsed="false">
      <c r="B170" s="11"/>
      <c r="C170" s="18"/>
      <c r="D170" s="10"/>
      <c r="E170" s="10"/>
      <c r="F170" s="10"/>
      <c r="G170" s="10"/>
      <c r="H170" s="19" t="str">
        <f aca="false">IF(B170="","",TEXT(B170,"YYYY-MM"))</f>
        <v/>
      </c>
      <c r="I170" s="10"/>
    </row>
    <row r="171" customFormat="false" ht="15" hidden="false" customHeight="true" outlineLevel="0" collapsed="false">
      <c r="B171" s="11"/>
      <c r="C171" s="18"/>
      <c r="D171" s="10"/>
      <c r="E171" s="10"/>
      <c r="F171" s="10"/>
      <c r="G171" s="10"/>
      <c r="H171" s="19" t="str">
        <f aca="false">IF(B171="","",TEXT(B171,"YYYY-MM"))</f>
        <v/>
      </c>
      <c r="I171" s="10"/>
    </row>
    <row r="172" customFormat="false" ht="15" hidden="false" customHeight="true" outlineLevel="0" collapsed="false">
      <c r="B172" s="11"/>
      <c r="C172" s="18"/>
      <c r="D172" s="10"/>
      <c r="E172" s="10"/>
      <c r="F172" s="10"/>
      <c r="G172" s="10"/>
      <c r="H172" s="19" t="str">
        <f aca="false">IF(B172="","",TEXT(B172,"YYYY-MM"))</f>
        <v/>
      </c>
      <c r="I172" s="10"/>
    </row>
    <row r="173" customFormat="false" ht="15" hidden="false" customHeight="true" outlineLevel="0" collapsed="false">
      <c r="B173" s="11"/>
      <c r="C173" s="18"/>
      <c r="D173" s="10"/>
      <c r="E173" s="10"/>
      <c r="F173" s="10"/>
      <c r="G173" s="10"/>
      <c r="H173" s="19" t="str">
        <f aca="false">IF(B173="","",TEXT(B173,"YYYY-MM"))</f>
        <v/>
      </c>
      <c r="I173" s="10"/>
    </row>
    <row r="174" customFormat="false" ht="15" hidden="false" customHeight="true" outlineLevel="0" collapsed="false">
      <c r="B174" s="11"/>
      <c r="C174" s="18"/>
      <c r="D174" s="10"/>
      <c r="E174" s="10"/>
      <c r="F174" s="10"/>
      <c r="G174" s="10"/>
      <c r="H174" s="19" t="str">
        <f aca="false">IF(B174="","",TEXT(B174,"YYYY-MM"))</f>
        <v/>
      </c>
      <c r="I174" s="10"/>
    </row>
    <row r="175" customFormat="false" ht="15" hidden="false" customHeight="true" outlineLevel="0" collapsed="false">
      <c r="B175" s="11"/>
      <c r="C175" s="18"/>
      <c r="D175" s="10"/>
      <c r="E175" s="10"/>
      <c r="F175" s="10"/>
      <c r="G175" s="10"/>
      <c r="H175" s="19" t="str">
        <f aca="false">IF(B175="","",TEXT(B175,"YYYY-MM"))</f>
        <v/>
      </c>
      <c r="I175" s="10"/>
    </row>
    <row r="176" customFormat="false" ht="15" hidden="false" customHeight="true" outlineLevel="0" collapsed="false">
      <c r="B176" s="11"/>
      <c r="C176" s="18"/>
      <c r="D176" s="10"/>
      <c r="E176" s="10"/>
      <c r="F176" s="10"/>
      <c r="G176" s="10"/>
      <c r="H176" s="19" t="str">
        <f aca="false">IF(B176="","",TEXT(B176,"YYYY-MM"))</f>
        <v/>
      </c>
      <c r="I176" s="10"/>
    </row>
    <row r="177" customFormat="false" ht="15" hidden="false" customHeight="true" outlineLevel="0" collapsed="false">
      <c r="B177" s="11"/>
      <c r="C177" s="18"/>
      <c r="D177" s="10"/>
      <c r="E177" s="10"/>
      <c r="F177" s="10"/>
      <c r="G177" s="10"/>
      <c r="H177" s="19" t="str">
        <f aca="false">IF(B177="","",TEXT(B177,"YYYY-MM"))</f>
        <v/>
      </c>
      <c r="I177" s="10"/>
    </row>
    <row r="178" customFormat="false" ht="15" hidden="false" customHeight="true" outlineLevel="0" collapsed="false">
      <c r="B178" s="11"/>
      <c r="C178" s="18"/>
      <c r="D178" s="10"/>
      <c r="E178" s="10"/>
      <c r="F178" s="10"/>
      <c r="G178" s="10"/>
      <c r="H178" s="19" t="str">
        <f aca="false">IF(B178="","",TEXT(B178,"YYYY-MM"))</f>
        <v/>
      </c>
      <c r="I178" s="10"/>
    </row>
    <row r="179" customFormat="false" ht="15" hidden="false" customHeight="true" outlineLevel="0" collapsed="false">
      <c r="B179" s="11"/>
      <c r="C179" s="18"/>
      <c r="D179" s="10"/>
      <c r="E179" s="10"/>
      <c r="F179" s="10"/>
      <c r="G179" s="10"/>
      <c r="H179" s="19" t="str">
        <f aca="false">IF(B179="","",TEXT(B179,"YYYY-MM"))</f>
        <v/>
      </c>
      <c r="I179" s="10"/>
    </row>
    <row r="180" customFormat="false" ht="15" hidden="false" customHeight="true" outlineLevel="0" collapsed="false">
      <c r="B180" s="11"/>
      <c r="C180" s="18"/>
      <c r="D180" s="10"/>
      <c r="E180" s="10"/>
      <c r="F180" s="10"/>
      <c r="G180" s="10"/>
      <c r="H180" s="19" t="str">
        <f aca="false">IF(B180="","",TEXT(B180,"YYYY-MM"))</f>
        <v/>
      </c>
      <c r="I180" s="10"/>
    </row>
    <row r="181" customFormat="false" ht="15" hidden="false" customHeight="true" outlineLevel="0" collapsed="false">
      <c r="B181" s="11"/>
      <c r="C181" s="18"/>
      <c r="D181" s="10"/>
      <c r="E181" s="10"/>
      <c r="F181" s="10"/>
      <c r="G181" s="10"/>
      <c r="H181" s="19" t="str">
        <f aca="false">IF(B181="","",TEXT(B181,"YYYY-MM"))</f>
        <v/>
      </c>
      <c r="I181" s="10"/>
    </row>
    <row r="182" customFormat="false" ht="15" hidden="false" customHeight="true" outlineLevel="0" collapsed="false">
      <c r="B182" s="11"/>
      <c r="C182" s="18"/>
      <c r="D182" s="10"/>
      <c r="E182" s="10"/>
      <c r="F182" s="10"/>
      <c r="G182" s="10"/>
      <c r="H182" s="19" t="str">
        <f aca="false">IF(B182="","",TEXT(B182,"YYYY-MM"))</f>
        <v/>
      </c>
      <c r="I182" s="10"/>
    </row>
    <row r="183" customFormat="false" ht="15" hidden="false" customHeight="true" outlineLevel="0" collapsed="false">
      <c r="B183" s="11"/>
      <c r="C183" s="18"/>
      <c r="D183" s="10"/>
      <c r="E183" s="10"/>
      <c r="F183" s="10"/>
      <c r="G183" s="10"/>
      <c r="H183" s="19" t="str">
        <f aca="false">IF(B183="","",TEXT(B183,"YYYY-MM"))</f>
        <v/>
      </c>
      <c r="I183" s="10"/>
    </row>
    <row r="184" customFormat="false" ht="15" hidden="false" customHeight="true" outlineLevel="0" collapsed="false">
      <c r="B184" s="11"/>
      <c r="C184" s="18"/>
      <c r="D184" s="10"/>
      <c r="E184" s="10"/>
      <c r="F184" s="10"/>
      <c r="G184" s="10"/>
      <c r="H184" s="19" t="str">
        <f aca="false">IF(B184="","",TEXT(B184,"YYYY-MM"))</f>
        <v/>
      </c>
      <c r="I184" s="10"/>
    </row>
    <row r="185" customFormat="false" ht="15" hidden="false" customHeight="true" outlineLevel="0" collapsed="false">
      <c r="B185" s="11"/>
      <c r="C185" s="18"/>
      <c r="D185" s="10"/>
      <c r="E185" s="10"/>
      <c r="F185" s="10"/>
      <c r="G185" s="10"/>
      <c r="H185" s="19" t="str">
        <f aca="false">IF(B185="","",TEXT(B185,"YYYY-MM"))</f>
        <v/>
      </c>
      <c r="I185" s="10"/>
    </row>
    <row r="186" customFormat="false" ht="15" hidden="false" customHeight="true" outlineLevel="0" collapsed="false">
      <c r="B186" s="11"/>
      <c r="C186" s="18"/>
      <c r="D186" s="10"/>
      <c r="E186" s="10"/>
      <c r="F186" s="10"/>
      <c r="G186" s="10"/>
      <c r="H186" s="19" t="str">
        <f aca="false">IF(B186="","",TEXT(B186,"YYYY-MM"))</f>
        <v/>
      </c>
      <c r="I186" s="10"/>
    </row>
    <row r="187" customFormat="false" ht="15" hidden="false" customHeight="true" outlineLevel="0" collapsed="false">
      <c r="B187" s="11"/>
      <c r="C187" s="18"/>
      <c r="D187" s="10"/>
      <c r="E187" s="10"/>
      <c r="F187" s="10"/>
      <c r="G187" s="10"/>
      <c r="H187" s="19" t="str">
        <f aca="false">IF(B187="","",TEXT(B187,"YYYY-MM"))</f>
        <v/>
      </c>
      <c r="I187" s="10"/>
    </row>
    <row r="188" customFormat="false" ht="15" hidden="false" customHeight="true" outlineLevel="0" collapsed="false">
      <c r="B188" s="11"/>
      <c r="C188" s="18"/>
      <c r="D188" s="10"/>
      <c r="E188" s="10"/>
      <c r="F188" s="10"/>
      <c r="G188" s="10"/>
      <c r="H188" s="19" t="str">
        <f aca="false">IF(B188="","",TEXT(B188,"YYYY-MM"))</f>
        <v/>
      </c>
      <c r="I188" s="10"/>
    </row>
    <row r="189" customFormat="false" ht="15" hidden="false" customHeight="true" outlineLevel="0" collapsed="false">
      <c r="B189" s="11"/>
      <c r="C189" s="18"/>
      <c r="D189" s="10"/>
      <c r="E189" s="10"/>
      <c r="F189" s="10"/>
      <c r="G189" s="10"/>
      <c r="H189" s="19" t="str">
        <f aca="false">IF(B189="","",TEXT(B189,"YYYY-MM"))</f>
        <v/>
      </c>
      <c r="I189" s="10"/>
    </row>
    <row r="190" customFormat="false" ht="15" hidden="false" customHeight="true" outlineLevel="0" collapsed="false">
      <c r="B190" s="11"/>
      <c r="C190" s="18"/>
      <c r="D190" s="10"/>
      <c r="E190" s="10"/>
      <c r="F190" s="10"/>
      <c r="G190" s="10"/>
      <c r="H190" s="19" t="str">
        <f aca="false">IF(B190="","",TEXT(B190,"YYYY-MM"))</f>
        <v/>
      </c>
      <c r="I190" s="10"/>
    </row>
    <row r="191" customFormat="false" ht="15" hidden="false" customHeight="true" outlineLevel="0" collapsed="false">
      <c r="B191" s="11"/>
      <c r="C191" s="18"/>
      <c r="D191" s="10"/>
      <c r="E191" s="10"/>
      <c r="F191" s="10"/>
      <c r="G191" s="10"/>
      <c r="H191" s="19" t="str">
        <f aca="false">IF(B191="","",TEXT(B191,"YYYY-MM"))</f>
        <v/>
      </c>
      <c r="I191" s="10"/>
    </row>
    <row r="192" customFormat="false" ht="15" hidden="false" customHeight="true" outlineLevel="0" collapsed="false">
      <c r="B192" s="11"/>
      <c r="C192" s="18"/>
      <c r="D192" s="10"/>
      <c r="E192" s="10"/>
      <c r="F192" s="10"/>
      <c r="G192" s="10"/>
      <c r="H192" s="19" t="str">
        <f aca="false">IF(B192="","",TEXT(B192,"YYYY-MM"))</f>
        <v/>
      </c>
      <c r="I192" s="10"/>
    </row>
    <row r="193" customFormat="false" ht="15" hidden="false" customHeight="true" outlineLevel="0" collapsed="false">
      <c r="B193" s="11"/>
      <c r="C193" s="18"/>
      <c r="D193" s="10"/>
      <c r="E193" s="10"/>
      <c r="F193" s="10"/>
      <c r="G193" s="10"/>
      <c r="H193" s="19" t="str">
        <f aca="false">IF(B193="","",TEXT(B193,"YYYY-MM"))</f>
        <v/>
      </c>
      <c r="I193" s="10"/>
    </row>
    <row r="194" customFormat="false" ht="15" hidden="false" customHeight="true" outlineLevel="0" collapsed="false">
      <c r="B194" s="11"/>
      <c r="C194" s="18"/>
      <c r="D194" s="10"/>
      <c r="E194" s="10"/>
      <c r="F194" s="10"/>
      <c r="G194" s="10"/>
      <c r="H194" s="19" t="str">
        <f aca="false">IF(B194="","",TEXT(B194,"YYYY-MM"))</f>
        <v/>
      </c>
      <c r="I194" s="10"/>
    </row>
    <row r="195" customFormat="false" ht="15" hidden="false" customHeight="true" outlineLevel="0" collapsed="false">
      <c r="B195" s="11"/>
      <c r="C195" s="18"/>
      <c r="D195" s="10"/>
      <c r="E195" s="10"/>
      <c r="F195" s="10"/>
      <c r="G195" s="10"/>
      <c r="H195" s="19" t="str">
        <f aca="false">IF(B195="","",TEXT(B195,"YYYY-MM"))</f>
        <v/>
      </c>
      <c r="I195" s="10"/>
    </row>
    <row r="196" customFormat="false" ht="15" hidden="false" customHeight="true" outlineLevel="0" collapsed="false">
      <c r="B196" s="11"/>
      <c r="C196" s="18"/>
      <c r="D196" s="10"/>
      <c r="E196" s="10"/>
      <c r="F196" s="10"/>
      <c r="G196" s="10"/>
      <c r="H196" s="19" t="str">
        <f aca="false">IF(B196="","",TEXT(B196,"YYYY-MM"))</f>
        <v/>
      </c>
      <c r="I196" s="10"/>
    </row>
    <row r="197" customFormat="false" ht="15" hidden="false" customHeight="true" outlineLevel="0" collapsed="false">
      <c r="B197" s="11"/>
      <c r="C197" s="18"/>
      <c r="D197" s="10"/>
      <c r="E197" s="10"/>
      <c r="F197" s="10"/>
      <c r="G197" s="10"/>
      <c r="H197" s="19" t="str">
        <f aca="false">IF(B197="","",TEXT(B197,"YYYY-MM"))</f>
        <v/>
      </c>
      <c r="I197" s="10"/>
    </row>
    <row r="198" customFormat="false" ht="15" hidden="false" customHeight="true" outlineLevel="0" collapsed="false">
      <c r="B198" s="11"/>
      <c r="C198" s="18"/>
      <c r="D198" s="10"/>
      <c r="E198" s="10"/>
      <c r="F198" s="10"/>
      <c r="G198" s="10"/>
      <c r="H198" s="19" t="str">
        <f aca="false">IF(B198="","",TEXT(B198,"YYYY-MM"))</f>
        <v/>
      </c>
      <c r="I198" s="10"/>
    </row>
    <row r="199" customFormat="false" ht="15" hidden="false" customHeight="true" outlineLevel="0" collapsed="false">
      <c r="B199" s="11"/>
      <c r="C199" s="18"/>
      <c r="D199" s="10"/>
      <c r="E199" s="10"/>
      <c r="F199" s="10"/>
      <c r="G199" s="10"/>
      <c r="H199" s="19" t="str">
        <f aca="false">IF(B199="","",TEXT(B199,"YYYY-MM"))</f>
        <v/>
      </c>
      <c r="I199" s="10"/>
    </row>
    <row r="200" customFormat="false" ht="15" hidden="false" customHeight="true" outlineLevel="0" collapsed="false">
      <c r="B200" s="11"/>
      <c r="C200" s="18"/>
      <c r="D200" s="10"/>
      <c r="E200" s="10"/>
      <c r="F200" s="10"/>
      <c r="G200" s="10"/>
      <c r="H200" s="19" t="str">
        <f aca="false">IF(B200="","",TEXT(B200,"YYYY-MM"))</f>
        <v/>
      </c>
      <c r="I200" s="10"/>
    </row>
    <row r="201" customFormat="false" ht="15" hidden="false" customHeight="true" outlineLevel="0" collapsed="false">
      <c r="B201" s="11"/>
      <c r="C201" s="18"/>
      <c r="D201" s="10"/>
      <c r="E201" s="10"/>
      <c r="F201" s="10"/>
      <c r="G201" s="10"/>
      <c r="H201" s="19" t="str">
        <f aca="false">IF(B201="","",TEXT(B201,"YYYY-MM"))</f>
        <v/>
      </c>
      <c r="I201" s="10"/>
    </row>
    <row r="202" customFormat="false" ht="15" hidden="false" customHeight="true" outlineLevel="0" collapsed="false">
      <c r="B202" s="11"/>
      <c r="C202" s="18"/>
      <c r="D202" s="10"/>
      <c r="E202" s="10"/>
      <c r="F202" s="10"/>
      <c r="G202" s="10"/>
      <c r="H202" s="19" t="str">
        <f aca="false">IF(B202="","",TEXT(B202,"YYYY-MM"))</f>
        <v/>
      </c>
      <c r="I202" s="10"/>
    </row>
    <row r="203" customFormat="false" ht="15" hidden="false" customHeight="true" outlineLevel="0" collapsed="false">
      <c r="B203" s="11"/>
      <c r="C203" s="18"/>
      <c r="D203" s="10"/>
      <c r="E203" s="10"/>
      <c r="F203" s="10"/>
      <c r="G203" s="10"/>
      <c r="H203" s="19" t="str">
        <f aca="false">IF(B203="","",TEXT(B203,"YYYY-MM"))</f>
        <v/>
      </c>
      <c r="I203" s="10"/>
    </row>
    <row r="204" customFormat="false" ht="15" hidden="false" customHeight="true" outlineLevel="0" collapsed="false">
      <c r="B204" s="11"/>
      <c r="C204" s="18"/>
      <c r="D204" s="10"/>
      <c r="E204" s="10"/>
      <c r="F204" s="10"/>
      <c r="G204" s="10"/>
      <c r="H204" s="19" t="str">
        <f aca="false">IF(B204="","",TEXT(B204,"YYYY-MM"))</f>
        <v/>
      </c>
      <c r="I204" s="10"/>
    </row>
    <row r="205" customFormat="false" ht="15" hidden="false" customHeight="true" outlineLevel="0" collapsed="false">
      <c r="B205" s="11"/>
      <c r="C205" s="18"/>
      <c r="D205" s="10"/>
      <c r="E205" s="10"/>
      <c r="F205" s="10"/>
      <c r="G205" s="10"/>
      <c r="H205" s="19" t="str">
        <f aca="false">IF(B205="","",TEXT(B205,"YYYY-MM"))</f>
        <v/>
      </c>
      <c r="I205" s="10"/>
    </row>
    <row r="206" customFormat="false" ht="15" hidden="false" customHeight="true" outlineLevel="0" collapsed="false">
      <c r="B206" s="11"/>
      <c r="C206" s="18"/>
      <c r="D206" s="10"/>
      <c r="E206" s="10"/>
      <c r="F206" s="10"/>
      <c r="G206" s="10"/>
      <c r="H206" s="19" t="str">
        <f aca="false">IF(B206="","",TEXT(B206,"YYYY-MM"))</f>
        <v/>
      </c>
      <c r="I206" s="10"/>
    </row>
    <row r="207" customFormat="false" ht="15" hidden="false" customHeight="true" outlineLevel="0" collapsed="false">
      <c r="B207" s="11"/>
      <c r="C207" s="18"/>
      <c r="D207" s="10"/>
      <c r="E207" s="10"/>
      <c r="F207" s="10"/>
      <c r="G207" s="10"/>
      <c r="H207" s="19" t="str">
        <f aca="false">IF(B207="","",TEXT(B207,"YYYY-MM"))</f>
        <v/>
      </c>
      <c r="I207" s="10"/>
    </row>
    <row r="208" customFormat="false" ht="15" hidden="false" customHeight="true" outlineLevel="0" collapsed="false">
      <c r="B208" s="11"/>
      <c r="C208" s="18"/>
      <c r="D208" s="10"/>
      <c r="E208" s="10"/>
      <c r="F208" s="10"/>
      <c r="G208" s="10"/>
      <c r="H208" s="19" t="str">
        <f aca="false">IF(B208="","",TEXT(B208,"YYYY-MM"))</f>
        <v/>
      </c>
      <c r="I208" s="10"/>
    </row>
    <row r="209" customFormat="false" ht="15" hidden="false" customHeight="true" outlineLevel="0" collapsed="false">
      <c r="B209" s="11"/>
      <c r="C209" s="18"/>
      <c r="D209" s="10"/>
      <c r="E209" s="10"/>
      <c r="F209" s="10"/>
      <c r="G209" s="10"/>
      <c r="H209" s="19" t="str">
        <f aca="false">IF(B209="","",TEXT(B209,"YYYY-MM"))</f>
        <v/>
      </c>
      <c r="I209" s="10"/>
    </row>
    <row r="210" customFormat="false" ht="15" hidden="false" customHeight="true" outlineLevel="0" collapsed="false">
      <c r="B210" s="11"/>
      <c r="C210" s="18"/>
      <c r="D210" s="10"/>
      <c r="E210" s="10"/>
      <c r="F210" s="10"/>
      <c r="G210" s="10"/>
      <c r="H210" s="19" t="str">
        <f aca="false">IF(B210="","",TEXT(B210,"YYYY-MM"))</f>
        <v/>
      </c>
      <c r="I210" s="10"/>
    </row>
    <row r="211" customFormat="false" ht="15" hidden="false" customHeight="true" outlineLevel="0" collapsed="false">
      <c r="B211" s="11"/>
      <c r="C211" s="18"/>
      <c r="D211" s="10"/>
      <c r="E211" s="10"/>
      <c r="F211" s="10"/>
      <c r="G211" s="10"/>
      <c r="H211" s="19" t="str">
        <f aca="false">IF(B211="","",TEXT(B211,"YYYY-MM"))</f>
        <v/>
      </c>
      <c r="I211" s="10"/>
    </row>
    <row r="212" customFormat="false" ht="15" hidden="false" customHeight="true" outlineLevel="0" collapsed="false">
      <c r="B212" s="11"/>
      <c r="C212" s="18"/>
      <c r="D212" s="10"/>
      <c r="E212" s="10"/>
      <c r="F212" s="10"/>
      <c r="G212" s="10"/>
      <c r="H212" s="19" t="str">
        <f aca="false">IF(B212="","",TEXT(B212,"YYYY-MM"))</f>
        <v/>
      </c>
      <c r="I212" s="10"/>
    </row>
    <row r="213" customFormat="false" ht="15" hidden="false" customHeight="true" outlineLevel="0" collapsed="false">
      <c r="B213" s="11"/>
      <c r="C213" s="18"/>
      <c r="D213" s="10"/>
      <c r="E213" s="10"/>
      <c r="F213" s="10"/>
      <c r="G213" s="10"/>
      <c r="H213" s="19" t="str">
        <f aca="false">IF(B213="","",TEXT(B213,"YYYY-MM"))</f>
        <v/>
      </c>
      <c r="I213" s="10"/>
    </row>
    <row r="214" customFormat="false" ht="15" hidden="false" customHeight="true" outlineLevel="0" collapsed="false">
      <c r="B214" s="11"/>
      <c r="C214" s="18"/>
      <c r="D214" s="10"/>
      <c r="E214" s="10"/>
      <c r="F214" s="10"/>
      <c r="G214" s="10"/>
      <c r="H214" s="19" t="str">
        <f aca="false">IF(B214="","",TEXT(B214,"YYYY-MM"))</f>
        <v/>
      </c>
      <c r="I214" s="10"/>
    </row>
    <row r="215" customFormat="false" ht="15" hidden="false" customHeight="true" outlineLevel="0" collapsed="false">
      <c r="B215" s="11"/>
      <c r="C215" s="18"/>
      <c r="D215" s="10"/>
      <c r="E215" s="10"/>
      <c r="F215" s="10"/>
      <c r="G215" s="10"/>
      <c r="H215" s="19" t="str">
        <f aca="false">IF(B215="","",TEXT(B215,"YYYY-MM"))</f>
        <v/>
      </c>
      <c r="I215" s="10"/>
    </row>
    <row r="216" customFormat="false" ht="15" hidden="false" customHeight="true" outlineLevel="0" collapsed="false">
      <c r="B216" s="11"/>
      <c r="C216" s="18"/>
      <c r="D216" s="10"/>
      <c r="E216" s="10"/>
      <c r="F216" s="10"/>
      <c r="G216" s="10"/>
      <c r="H216" s="19" t="str">
        <f aca="false">IF(B216="","",TEXT(B216,"YYYY-MM"))</f>
        <v/>
      </c>
      <c r="I216" s="10"/>
    </row>
    <row r="217" customFormat="false" ht="15" hidden="false" customHeight="true" outlineLevel="0" collapsed="false">
      <c r="B217" s="11"/>
      <c r="C217" s="18"/>
      <c r="D217" s="10"/>
      <c r="E217" s="10"/>
      <c r="F217" s="10"/>
      <c r="G217" s="10"/>
      <c r="H217" s="19" t="str">
        <f aca="false">IF(B217="","",TEXT(B217,"YYYY-MM"))</f>
        <v/>
      </c>
      <c r="I217" s="10"/>
    </row>
    <row r="218" customFormat="false" ht="15" hidden="false" customHeight="true" outlineLevel="0" collapsed="false">
      <c r="B218" s="11"/>
      <c r="C218" s="18"/>
      <c r="D218" s="10"/>
      <c r="E218" s="10"/>
      <c r="F218" s="10"/>
      <c r="G218" s="10"/>
      <c r="H218" s="19" t="str">
        <f aca="false">IF(B218="","",TEXT(B218,"YYYY-MM"))</f>
        <v/>
      </c>
      <c r="I218" s="10"/>
    </row>
    <row r="219" customFormat="false" ht="15" hidden="false" customHeight="true" outlineLevel="0" collapsed="false">
      <c r="B219" s="11"/>
      <c r="C219" s="18"/>
      <c r="D219" s="10"/>
      <c r="E219" s="10"/>
      <c r="F219" s="10"/>
      <c r="G219" s="10"/>
      <c r="H219" s="19" t="str">
        <f aca="false">IF(B219="","",TEXT(B219,"YYYY-MM"))</f>
        <v/>
      </c>
      <c r="I219" s="10"/>
    </row>
    <row r="220" customFormat="false" ht="15" hidden="false" customHeight="true" outlineLevel="0" collapsed="false">
      <c r="B220" s="11"/>
      <c r="C220" s="18"/>
      <c r="D220" s="10"/>
      <c r="E220" s="10"/>
      <c r="F220" s="10"/>
      <c r="G220" s="10"/>
      <c r="H220" s="19" t="str">
        <f aca="false">IF(B220="","",TEXT(B220,"YYYY-MM"))</f>
        <v/>
      </c>
      <c r="I220" s="10"/>
    </row>
    <row r="221" customFormat="false" ht="15" hidden="false" customHeight="true" outlineLevel="0" collapsed="false">
      <c r="B221" s="11"/>
      <c r="C221" s="18"/>
      <c r="D221" s="10"/>
      <c r="E221" s="10"/>
      <c r="F221" s="10"/>
      <c r="G221" s="10"/>
      <c r="H221" s="19" t="str">
        <f aca="false">IF(B221="","",TEXT(B221,"YYYY-MM"))</f>
        <v/>
      </c>
      <c r="I221" s="10"/>
    </row>
    <row r="222" customFormat="false" ht="15" hidden="false" customHeight="true" outlineLevel="0" collapsed="false">
      <c r="B222" s="11"/>
      <c r="C222" s="18"/>
      <c r="D222" s="10"/>
      <c r="E222" s="10"/>
      <c r="F222" s="10"/>
      <c r="G222" s="10"/>
      <c r="H222" s="19" t="str">
        <f aca="false">IF(B222="","",TEXT(B222,"YYYY-MM"))</f>
        <v/>
      </c>
      <c r="I222" s="10"/>
    </row>
    <row r="223" customFormat="false" ht="15" hidden="false" customHeight="true" outlineLevel="0" collapsed="false">
      <c r="B223" s="11"/>
      <c r="C223" s="18"/>
      <c r="D223" s="10"/>
      <c r="E223" s="10"/>
      <c r="F223" s="10"/>
      <c r="G223" s="10"/>
      <c r="H223" s="19" t="str">
        <f aca="false">IF(B223="","",TEXT(B223,"YYYY-MM"))</f>
        <v/>
      </c>
      <c r="I223" s="10"/>
    </row>
    <row r="224" customFormat="false" ht="15" hidden="false" customHeight="true" outlineLevel="0" collapsed="false">
      <c r="B224" s="11"/>
      <c r="C224" s="18"/>
      <c r="D224" s="10"/>
      <c r="E224" s="10"/>
      <c r="F224" s="10"/>
      <c r="G224" s="10"/>
      <c r="H224" s="19" t="str">
        <f aca="false">IF(B224="","",TEXT(B224,"YYYY-MM"))</f>
        <v/>
      </c>
      <c r="I224" s="10"/>
    </row>
    <row r="225" customFormat="false" ht="15" hidden="false" customHeight="true" outlineLevel="0" collapsed="false">
      <c r="B225" s="11"/>
      <c r="C225" s="18"/>
      <c r="D225" s="10"/>
      <c r="E225" s="10"/>
      <c r="F225" s="10"/>
      <c r="G225" s="10"/>
      <c r="H225" s="19" t="str">
        <f aca="false">IF(B225="","",TEXT(B225,"YYYY-MM"))</f>
        <v/>
      </c>
      <c r="I225" s="10"/>
    </row>
    <row r="226" customFormat="false" ht="15" hidden="false" customHeight="true" outlineLevel="0" collapsed="false">
      <c r="B226" s="11"/>
      <c r="C226" s="18"/>
      <c r="D226" s="10"/>
      <c r="E226" s="10"/>
      <c r="F226" s="10"/>
      <c r="G226" s="10"/>
      <c r="H226" s="19" t="str">
        <f aca="false">IF(B226="","",TEXT(B226,"YYYY-MM"))</f>
        <v/>
      </c>
      <c r="I226" s="10"/>
    </row>
    <row r="227" customFormat="false" ht="15" hidden="false" customHeight="true" outlineLevel="0" collapsed="false">
      <c r="B227" s="11"/>
      <c r="C227" s="18"/>
      <c r="D227" s="10"/>
      <c r="E227" s="10"/>
      <c r="F227" s="10"/>
      <c r="G227" s="10"/>
      <c r="H227" s="19" t="str">
        <f aca="false">IF(B227="","",TEXT(B227,"YYYY-MM"))</f>
        <v/>
      </c>
      <c r="I227" s="10"/>
    </row>
    <row r="228" customFormat="false" ht="15" hidden="false" customHeight="true" outlineLevel="0" collapsed="false">
      <c r="B228" s="11"/>
      <c r="C228" s="18"/>
      <c r="D228" s="10"/>
      <c r="E228" s="10"/>
      <c r="F228" s="10"/>
      <c r="G228" s="10"/>
      <c r="H228" s="19" t="str">
        <f aca="false">IF(B228="","",TEXT(B228,"YYYY-MM"))</f>
        <v/>
      </c>
      <c r="I228" s="10"/>
    </row>
    <row r="229" customFormat="false" ht="15" hidden="false" customHeight="true" outlineLevel="0" collapsed="false">
      <c r="B229" s="11"/>
      <c r="C229" s="18"/>
      <c r="D229" s="10"/>
      <c r="E229" s="10"/>
      <c r="F229" s="10"/>
      <c r="G229" s="10"/>
      <c r="H229" s="19" t="str">
        <f aca="false">IF(B229="","",TEXT(B229,"YYYY-MM"))</f>
        <v/>
      </c>
      <c r="I229" s="10"/>
    </row>
    <row r="230" customFormat="false" ht="15" hidden="false" customHeight="true" outlineLevel="0" collapsed="false">
      <c r="B230" s="11"/>
      <c r="C230" s="18"/>
      <c r="D230" s="10"/>
      <c r="E230" s="10"/>
      <c r="F230" s="10"/>
      <c r="G230" s="10"/>
      <c r="H230" s="19" t="str">
        <f aca="false">IF(B230="","",TEXT(B230,"YYYY-MM"))</f>
        <v/>
      </c>
      <c r="I230" s="10"/>
    </row>
    <row r="231" customFormat="false" ht="15" hidden="false" customHeight="true" outlineLevel="0" collapsed="false">
      <c r="B231" s="11"/>
      <c r="C231" s="18"/>
      <c r="D231" s="10"/>
      <c r="E231" s="10"/>
      <c r="F231" s="10"/>
      <c r="G231" s="10"/>
      <c r="H231" s="19" t="str">
        <f aca="false">IF(B231="","",TEXT(B231,"YYYY-MM"))</f>
        <v/>
      </c>
      <c r="I231" s="10"/>
    </row>
    <row r="232" customFormat="false" ht="15" hidden="false" customHeight="true" outlineLevel="0" collapsed="false">
      <c r="B232" s="11"/>
      <c r="C232" s="18"/>
      <c r="D232" s="10"/>
      <c r="E232" s="10"/>
      <c r="F232" s="10"/>
      <c r="G232" s="10"/>
      <c r="H232" s="19" t="str">
        <f aca="false">IF(B232="","",TEXT(B232,"YYYY-MM"))</f>
        <v/>
      </c>
      <c r="I232" s="10"/>
    </row>
    <row r="233" customFormat="false" ht="15" hidden="false" customHeight="true" outlineLevel="0" collapsed="false">
      <c r="B233" s="11"/>
      <c r="C233" s="18"/>
      <c r="D233" s="10"/>
      <c r="E233" s="10"/>
      <c r="F233" s="10"/>
      <c r="G233" s="10"/>
      <c r="H233" s="19" t="str">
        <f aca="false">IF(B233="","",TEXT(B233,"YYYY-MM"))</f>
        <v/>
      </c>
      <c r="I233" s="10"/>
    </row>
    <row r="234" customFormat="false" ht="15" hidden="false" customHeight="true" outlineLevel="0" collapsed="false">
      <c r="B234" s="11"/>
      <c r="C234" s="18"/>
      <c r="D234" s="10"/>
      <c r="E234" s="10"/>
      <c r="F234" s="10"/>
      <c r="G234" s="10"/>
      <c r="H234" s="19" t="str">
        <f aca="false">IF(B234="","",TEXT(B234,"YYYY-MM"))</f>
        <v/>
      </c>
      <c r="I234" s="10"/>
    </row>
    <row r="235" customFormat="false" ht="15" hidden="false" customHeight="true" outlineLevel="0" collapsed="false">
      <c r="B235" s="11"/>
      <c r="C235" s="18"/>
      <c r="D235" s="10"/>
      <c r="E235" s="10"/>
      <c r="F235" s="10"/>
      <c r="G235" s="10"/>
      <c r="H235" s="19" t="str">
        <f aca="false">IF(B235="","",TEXT(B235,"YYYY-MM"))</f>
        <v/>
      </c>
      <c r="I235" s="10"/>
    </row>
    <row r="236" customFormat="false" ht="15" hidden="false" customHeight="true" outlineLevel="0" collapsed="false">
      <c r="B236" s="11"/>
      <c r="C236" s="18"/>
      <c r="D236" s="10"/>
      <c r="E236" s="10"/>
      <c r="F236" s="10"/>
      <c r="G236" s="10"/>
      <c r="H236" s="19" t="str">
        <f aca="false">IF(B236="","",TEXT(B236,"YYYY-MM"))</f>
        <v/>
      </c>
      <c r="I236" s="10"/>
    </row>
    <row r="237" customFormat="false" ht="15" hidden="false" customHeight="true" outlineLevel="0" collapsed="false">
      <c r="B237" s="11"/>
      <c r="C237" s="18"/>
      <c r="D237" s="10"/>
      <c r="E237" s="10"/>
      <c r="F237" s="10"/>
      <c r="G237" s="10"/>
      <c r="H237" s="19" t="str">
        <f aca="false">IF(B237="","",TEXT(B237,"YYYY-MM"))</f>
        <v/>
      </c>
      <c r="I237" s="10"/>
    </row>
    <row r="238" customFormat="false" ht="15" hidden="false" customHeight="true" outlineLevel="0" collapsed="false">
      <c r="B238" s="11"/>
      <c r="C238" s="18"/>
      <c r="D238" s="10"/>
      <c r="E238" s="10"/>
      <c r="F238" s="10"/>
      <c r="G238" s="10"/>
      <c r="H238" s="19" t="str">
        <f aca="false">IF(B238="","",TEXT(B238,"YYYY-MM"))</f>
        <v/>
      </c>
      <c r="I238" s="10"/>
    </row>
    <row r="239" customFormat="false" ht="15" hidden="false" customHeight="true" outlineLevel="0" collapsed="false">
      <c r="B239" s="11"/>
      <c r="C239" s="18"/>
      <c r="D239" s="10"/>
      <c r="E239" s="10"/>
      <c r="F239" s="10"/>
      <c r="G239" s="10"/>
      <c r="H239" s="19" t="str">
        <f aca="false">IF(B239="","",TEXT(B239,"YYYY-MM"))</f>
        <v/>
      </c>
      <c r="I239" s="10"/>
    </row>
    <row r="240" customFormat="false" ht="15" hidden="false" customHeight="true" outlineLevel="0" collapsed="false">
      <c r="B240" s="11"/>
      <c r="C240" s="18"/>
      <c r="D240" s="10"/>
      <c r="E240" s="10"/>
      <c r="F240" s="10"/>
      <c r="G240" s="10"/>
      <c r="H240" s="19" t="str">
        <f aca="false">IF(B240="","",TEXT(B240,"YYYY-MM"))</f>
        <v/>
      </c>
      <c r="I240" s="10"/>
    </row>
    <row r="241" customFormat="false" ht="15" hidden="false" customHeight="true" outlineLevel="0" collapsed="false">
      <c r="B241" s="11"/>
      <c r="C241" s="18"/>
      <c r="D241" s="10"/>
      <c r="E241" s="10"/>
      <c r="F241" s="10"/>
      <c r="G241" s="10"/>
      <c r="H241" s="19" t="str">
        <f aca="false">IF(B241="","",TEXT(B241,"YYYY-MM"))</f>
        <v/>
      </c>
      <c r="I241" s="10"/>
    </row>
    <row r="242" customFormat="false" ht="15" hidden="false" customHeight="true" outlineLevel="0" collapsed="false">
      <c r="B242" s="11"/>
      <c r="C242" s="18"/>
      <c r="D242" s="10"/>
      <c r="E242" s="10"/>
      <c r="F242" s="10"/>
      <c r="G242" s="10"/>
      <c r="H242" s="19" t="str">
        <f aca="false">IF(B242="","",TEXT(B242,"YYYY-MM"))</f>
        <v/>
      </c>
      <c r="I242" s="10"/>
    </row>
    <row r="243" customFormat="false" ht="15" hidden="false" customHeight="true" outlineLevel="0" collapsed="false">
      <c r="B243" s="11"/>
      <c r="C243" s="18"/>
      <c r="D243" s="10"/>
      <c r="E243" s="10"/>
      <c r="F243" s="10"/>
      <c r="G243" s="10"/>
      <c r="H243" s="19" t="str">
        <f aca="false">IF(B243="","",TEXT(B243,"YYYY-MM"))</f>
        <v/>
      </c>
      <c r="I243" s="10"/>
    </row>
    <row r="244" customFormat="false" ht="15" hidden="false" customHeight="true" outlineLevel="0" collapsed="false">
      <c r="B244" s="11"/>
      <c r="C244" s="18"/>
      <c r="D244" s="10"/>
      <c r="E244" s="10"/>
      <c r="F244" s="10"/>
      <c r="G244" s="10"/>
      <c r="H244" s="19" t="str">
        <f aca="false">IF(B244="","",TEXT(B244,"YYYY-MM"))</f>
        <v/>
      </c>
      <c r="I244" s="10"/>
    </row>
    <row r="245" customFormat="false" ht="15" hidden="false" customHeight="true" outlineLevel="0" collapsed="false">
      <c r="B245" s="11"/>
      <c r="C245" s="18"/>
      <c r="D245" s="10"/>
      <c r="E245" s="10"/>
      <c r="F245" s="10"/>
      <c r="G245" s="10"/>
      <c r="H245" s="19" t="str">
        <f aca="false">IF(B245="","",TEXT(B245,"YYYY-MM"))</f>
        <v/>
      </c>
      <c r="I245" s="10"/>
    </row>
    <row r="246" customFormat="false" ht="15" hidden="false" customHeight="true" outlineLevel="0" collapsed="false">
      <c r="B246" s="11"/>
      <c r="C246" s="18"/>
      <c r="D246" s="10"/>
      <c r="E246" s="10"/>
      <c r="F246" s="10"/>
      <c r="G246" s="10"/>
      <c r="H246" s="19" t="str">
        <f aca="false">IF(B246="","",TEXT(B246,"YYYY-MM"))</f>
        <v/>
      </c>
      <c r="I246" s="10"/>
    </row>
    <row r="247" customFormat="false" ht="15" hidden="false" customHeight="true" outlineLevel="0" collapsed="false">
      <c r="B247" s="11"/>
      <c r="C247" s="18"/>
      <c r="D247" s="10"/>
      <c r="E247" s="10"/>
      <c r="F247" s="10"/>
      <c r="G247" s="10"/>
      <c r="H247" s="19" t="str">
        <f aca="false">IF(B247="","",TEXT(B247,"YYYY-MM"))</f>
        <v/>
      </c>
      <c r="I247" s="10"/>
    </row>
    <row r="248" customFormat="false" ht="15" hidden="false" customHeight="true" outlineLevel="0" collapsed="false">
      <c r="B248" s="11"/>
      <c r="C248" s="18"/>
      <c r="D248" s="10"/>
      <c r="E248" s="10"/>
      <c r="F248" s="10"/>
      <c r="G248" s="10"/>
      <c r="H248" s="19" t="str">
        <f aca="false">IF(B248="","",TEXT(B248,"YYYY-MM"))</f>
        <v/>
      </c>
      <c r="I248" s="10"/>
    </row>
    <row r="249" customFormat="false" ht="15" hidden="false" customHeight="true" outlineLevel="0" collapsed="false">
      <c r="B249" s="11"/>
      <c r="C249" s="18"/>
      <c r="D249" s="10"/>
      <c r="E249" s="10"/>
      <c r="F249" s="10"/>
      <c r="G249" s="10"/>
      <c r="H249" s="19" t="str">
        <f aca="false">IF(B249="","",TEXT(B249,"YYYY-MM"))</f>
        <v/>
      </c>
      <c r="I249" s="10"/>
    </row>
    <row r="250" customFormat="false" ht="15" hidden="false" customHeight="true" outlineLevel="0" collapsed="false">
      <c r="B250" s="11"/>
      <c r="C250" s="18"/>
      <c r="D250" s="10"/>
      <c r="E250" s="10"/>
      <c r="F250" s="10"/>
      <c r="G250" s="10"/>
      <c r="H250" s="19" t="str">
        <f aca="false">IF(B250="","",TEXT(B250,"YYYY-MM"))</f>
        <v/>
      </c>
      <c r="I250" s="10"/>
    </row>
    <row r="251" customFormat="false" ht="15" hidden="false" customHeight="true" outlineLevel="0" collapsed="false">
      <c r="B251" s="11"/>
      <c r="C251" s="18"/>
      <c r="D251" s="10"/>
      <c r="E251" s="10"/>
      <c r="F251" s="10"/>
      <c r="G251" s="10"/>
      <c r="H251" s="19" t="str">
        <f aca="false">IF(B251="","",TEXT(B251,"YYYY-MM"))</f>
        <v/>
      </c>
      <c r="I251" s="10"/>
    </row>
    <row r="252" customFormat="false" ht="15" hidden="false" customHeight="true" outlineLevel="0" collapsed="false">
      <c r="B252" s="11"/>
      <c r="C252" s="18"/>
      <c r="D252" s="10"/>
      <c r="E252" s="10"/>
      <c r="F252" s="10"/>
      <c r="G252" s="10"/>
      <c r="H252" s="19" t="str">
        <f aca="false">IF(B252="","",TEXT(B252,"YYYY-MM"))</f>
        <v/>
      </c>
      <c r="I252" s="10"/>
    </row>
    <row r="253" customFormat="false" ht="15" hidden="false" customHeight="true" outlineLevel="0" collapsed="false">
      <c r="B253" s="11"/>
      <c r="C253" s="18"/>
      <c r="D253" s="10"/>
      <c r="E253" s="10"/>
      <c r="F253" s="10"/>
      <c r="G253" s="10"/>
      <c r="H253" s="19" t="str">
        <f aca="false">IF(B253="","",TEXT(B253,"YYYY-MM"))</f>
        <v/>
      </c>
      <c r="I253" s="10"/>
    </row>
    <row r="254" customFormat="false" ht="15" hidden="false" customHeight="true" outlineLevel="0" collapsed="false">
      <c r="B254" s="11"/>
      <c r="C254" s="18"/>
      <c r="D254" s="10"/>
      <c r="E254" s="10"/>
      <c r="F254" s="10"/>
      <c r="G254" s="10"/>
      <c r="H254" s="19" t="str">
        <f aca="false">IF(B254="","",TEXT(B254,"YYYY-MM"))</f>
        <v/>
      </c>
      <c r="I254" s="10"/>
    </row>
    <row r="255" customFormat="false" ht="15" hidden="false" customHeight="true" outlineLevel="0" collapsed="false">
      <c r="B255" s="11"/>
      <c r="C255" s="18"/>
      <c r="D255" s="10"/>
      <c r="E255" s="10"/>
      <c r="F255" s="10"/>
      <c r="G255" s="10"/>
      <c r="H255" s="19" t="str">
        <f aca="false">IF(B255="","",TEXT(B255,"YYYY-MM"))</f>
        <v/>
      </c>
      <c r="I255" s="10"/>
    </row>
    <row r="256" customFormat="false" ht="15" hidden="false" customHeight="true" outlineLevel="0" collapsed="false">
      <c r="B256" s="11"/>
      <c r="C256" s="18"/>
      <c r="D256" s="10"/>
      <c r="E256" s="10"/>
      <c r="F256" s="10"/>
      <c r="G256" s="10"/>
      <c r="H256" s="19" t="str">
        <f aca="false">IF(B256="","",TEXT(B256,"YYYY-MM"))</f>
        <v/>
      </c>
      <c r="I256" s="10"/>
    </row>
    <row r="257" customFormat="false" ht="15" hidden="false" customHeight="true" outlineLevel="0" collapsed="false">
      <c r="B257" s="11"/>
      <c r="C257" s="18"/>
      <c r="D257" s="10"/>
      <c r="E257" s="10"/>
      <c r="F257" s="10"/>
      <c r="G257" s="10"/>
      <c r="H257" s="19" t="str">
        <f aca="false">IF(B257="","",TEXT(B257,"YYYY-MM"))</f>
        <v/>
      </c>
      <c r="I257" s="10"/>
    </row>
    <row r="258" customFormat="false" ht="15" hidden="false" customHeight="true" outlineLevel="0" collapsed="false">
      <c r="B258" s="11"/>
      <c r="C258" s="18"/>
      <c r="D258" s="10"/>
      <c r="E258" s="10"/>
      <c r="F258" s="10"/>
      <c r="G258" s="10"/>
      <c r="H258" s="19" t="str">
        <f aca="false">IF(B258="","",TEXT(B258,"YYYY-MM"))</f>
        <v/>
      </c>
      <c r="I258" s="10"/>
    </row>
    <row r="259" customFormat="false" ht="15" hidden="false" customHeight="true" outlineLevel="0" collapsed="false">
      <c r="B259" s="11"/>
      <c r="C259" s="18"/>
      <c r="D259" s="10"/>
      <c r="E259" s="10"/>
      <c r="F259" s="10"/>
      <c r="G259" s="10"/>
      <c r="H259" s="19" t="str">
        <f aca="false">IF(B259="","",TEXT(B259,"YYYY-MM"))</f>
        <v/>
      </c>
      <c r="I259" s="10"/>
    </row>
    <row r="260" customFormat="false" ht="15" hidden="false" customHeight="true" outlineLevel="0" collapsed="false">
      <c r="B260" s="11"/>
      <c r="C260" s="18"/>
      <c r="D260" s="10"/>
      <c r="E260" s="10"/>
      <c r="F260" s="10"/>
      <c r="G260" s="10"/>
      <c r="H260" s="19" t="str">
        <f aca="false">IF(B260="","",TEXT(B260,"YYYY-MM"))</f>
        <v/>
      </c>
      <c r="I260" s="10"/>
    </row>
    <row r="261" customFormat="false" ht="15" hidden="false" customHeight="true" outlineLevel="0" collapsed="false">
      <c r="B261" s="11"/>
      <c r="C261" s="18"/>
      <c r="D261" s="10"/>
      <c r="E261" s="10"/>
      <c r="F261" s="10"/>
      <c r="G261" s="10"/>
      <c r="H261" s="19" t="str">
        <f aca="false">IF(B261="","",TEXT(B261,"YYYY-MM"))</f>
        <v/>
      </c>
      <c r="I261" s="10"/>
    </row>
    <row r="262" customFormat="false" ht="15" hidden="false" customHeight="true" outlineLevel="0" collapsed="false">
      <c r="B262" s="11"/>
      <c r="C262" s="18"/>
      <c r="D262" s="10"/>
      <c r="E262" s="10"/>
      <c r="F262" s="10"/>
      <c r="G262" s="10"/>
      <c r="H262" s="19" t="str">
        <f aca="false">IF(B262="","",TEXT(B262,"YYYY-MM"))</f>
        <v/>
      </c>
      <c r="I262" s="10"/>
    </row>
    <row r="263" customFormat="false" ht="15" hidden="false" customHeight="true" outlineLevel="0" collapsed="false">
      <c r="B263" s="11"/>
      <c r="C263" s="18"/>
      <c r="D263" s="10"/>
      <c r="E263" s="10"/>
      <c r="F263" s="10"/>
      <c r="G263" s="10"/>
      <c r="H263" s="19" t="str">
        <f aca="false">IF(B263="","",TEXT(B263,"YYYY-MM"))</f>
        <v/>
      </c>
      <c r="I263" s="10"/>
    </row>
    <row r="264" customFormat="false" ht="15" hidden="false" customHeight="true" outlineLevel="0" collapsed="false">
      <c r="B264" s="11"/>
      <c r="C264" s="18"/>
      <c r="D264" s="10"/>
      <c r="E264" s="10"/>
      <c r="F264" s="10"/>
      <c r="G264" s="10"/>
      <c r="H264" s="19" t="str">
        <f aca="false">IF(B264="","",TEXT(B264,"YYYY-MM"))</f>
        <v/>
      </c>
      <c r="I264" s="10"/>
    </row>
    <row r="265" customFormat="false" ht="15" hidden="false" customHeight="true" outlineLevel="0" collapsed="false">
      <c r="B265" s="11"/>
      <c r="C265" s="18"/>
      <c r="D265" s="10"/>
      <c r="E265" s="10"/>
      <c r="F265" s="10"/>
      <c r="G265" s="10"/>
      <c r="H265" s="19" t="str">
        <f aca="false">IF(B265="","",TEXT(B265,"YYYY-MM"))</f>
        <v/>
      </c>
      <c r="I265" s="10"/>
    </row>
    <row r="266" customFormat="false" ht="15" hidden="false" customHeight="true" outlineLevel="0" collapsed="false">
      <c r="B266" s="11"/>
      <c r="C266" s="18"/>
      <c r="D266" s="10"/>
      <c r="E266" s="10"/>
      <c r="F266" s="10"/>
      <c r="G266" s="10"/>
      <c r="H266" s="19" t="str">
        <f aca="false">IF(B266="","",TEXT(B266,"YYYY-MM"))</f>
        <v/>
      </c>
      <c r="I266" s="10"/>
    </row>
    <row r="267" customFormat="false" ht="15" hidden="false" customHeight="true" outlineLevel="0" collapsed="false">
      <c r="B267" s="11"/>
      <c r="C267" s="18"/>
      <c r="D267" s="10"/>
      <c r="E267" s="10"/>
      <c r="F267" s="10"/>
      <c r="G267" s="10"/>
      <c r="H267" s="19" t="str">
        <f aca="false">IF(B267="","",TEXT(B267,"YYYY-MM"))</f>
        <v/>
      </c>
      <c r="I267" s="10"/>
    </row>
    <row r="268" customFormat="false" ht="15" hidden="false" customHeight="true" outlineLevel="0" collapsed="false">
      <c r="B268" s="11"/>
      <c r="C268" s="18"/>
      <c r="D268" s="10"/>
      <c r="E268" s="10"/>
      <c r="F268" s="10"/>
      <c r="G268" s="10"/>
      <c r="H268" s="19" t="str">
        <f aca="false">IF(B268="","",TEXT(B268,"YYYY-MM"))</f>
        <v/>
      </c>
      <c r="I268" s="10"/>
    </row>
    <row r="269" customFormat="false" ht="15" hidden="false" customHeight="true" outlineLevel="0" collapsed="false">
      <c r="B269" s="11"/>
      <c r="C269" s="18"/>
      <c r="D269" s="10"/>
      <c r="E269" s="10"/>
      <c r="F269" s="10"/>
      <c r="G269" s="10"/>
      <c r="H269" s="19" t="str">
        <f aca="false">IF(B269="","",TEXT(B269,"YYYY-MM"))</f>
        <v/>
      </c>
      <c r="I269" s="10"/>
    </row>
    <row r="270" customFormat="false" ht="15" hidden="false" customHeight="true" outlineLevel="0" collapsed="false">
      <c r="B270" s="11"/>
      <c r="C270" s="18"/>
      <c r="D270" s="10"/>
      <c r="E270" s="10"/>
      <c r="F270" s="10"/>
      <c r="G270" s="10"/>
      <c r="H270" s="19" t="str">
        <f aca="false">IF(B270="","",TEXT(B270,"YYYY-MM"))</f>
        <v/>
      </c>
      <c r="I270" s="10"/>
    </row>
    <row r="271" customFormat="false" ht="15" hidden="false" customHeight="true" outlineLevel="0" collapsed="false">
      <c r="B271" s="11"/>
      <c r="C271" s="18"/>
      <c r="D271" s="10"/>
      <c r="E271" s="10"/>
      <c r="F271" s="10"/>
      <c r="G271" s="10"/>
      <c r="H271" s="19" t="str">
        <f aca="false">IF(B271="","",TEXT(B271,"YYYY-MM"))</f>
        <v/>
      </c>
      <c r="I271" s="10"/>
    </row>
    <row r="272" customFormat="false" ht="15" hidden="false" customHeight="true" outlineLevel="0" collapsed="false">
      <c r="B272" s="11"/>
      <c r="C272" s="18"/>
      <c r="D272" s="10"/>
      <c r="E272" s="10"/>
      <c r="F272" s="10"/>
      <c r="G272" s="10"/>
      <c r="H272" s="19" t="str">
        <f aca="false">IF(B272="","",TEXT(B272,"YYYY-MM"))</f>
        <v/>
      </c>
      <c r="I272" s="10"/>
    </row>
    <row r="273" customFormat="false" ht="15" hidden="false" customHeight="true" outlineLevel="0" collapsed="false">
      <c r="B273" s="11"/>
      <c r="C273" s="18"/>
      <c r="D273" s="10"/>
      <c r="E273" s="10"/>
      <c r="F273" s="10"/>
      <c r="G273" s="10"/>
      <c r="H273" s="19" t="str">
        <f aca="false">IF(B273="","",TEXT(B273,"YYYY-MM"))</f>
        <v/>
      </c>
      <c r="I273" s="10"/>
    </row>
    <row r="274" customFormat="false" ht="15" hidden="false" customHeight="true" outlineLevel="0" collapsed="false">
      <c r="B274" s="11"/>
      <c r="C274" s="18"/>
      <c r="D274" s="10"/>
      <c r="E274" s="10"/>
      <c r="F274" s="10"/>
      <c r="G274" s="10"/>
      <c r="H274" s="19" t="str">
        <f aca="false">IF(B274="","",TEXT(B274,"YYYY-MM"))</f>
        <v/>
      </c>
      <c r="I274" s="10"/>
    </row>
    <row r="275" customFormat="false" ht="15" hidden="false" customHeight="true" outlineLevel="0" collapsed="false">
      <c r="B275" s="11"/>
      <c r="C275" s="18"/>
      <c r="D275" s="10"/>
      <c r="E275" s="10"/>
      <c r="F275" s="10"/>
      <c r="G275" s="10"/>
      <c r="H275" s="19" t="str">
        <f aca="false">IF(B275="","",TEXT(B275,"YYYY-MM"))</f>
        <v/>
      </c>
      <c r="I275" s="10"/>
    </row>
    <row r="276" customFormat="false" ht="15" hidden="false" customHeight="true" outlineLevel="0" collapsed="false">
      <c r="B276" s="11"/>
      <c r="C276" s="18"/>
      <c r="D276" s="10"/>
      <c r="E276" s="10"/>
      <c r="F276" s="10"/>
      <c r="G276" s="10"/>
      <c r="H276" s="19" t="str">
        <f aca="false">IF(B276="","",TEXT(B276,"YYYY-MM"))</f>
        <v/>
      </c>
      <c r="I276" s="10"/>
    </row>
    <row r="277" customFormat="false" ht="15" hidden="false" customHeight="true" outlineLevel="0" collapsed="false">
      <c r="B277" s="11"/>
      <c r="C277" s="18"/>
      <c r="D277" s="10"/>
      <c r="E277" s="10"/>
      <c r="F277" s="10"/>
      <c r="G277" s="10"/>
      <c r="H277" s="19" t="str">
        <f aca="false">IF(B277="","",TEXT(B277,"YYYY-MM"))</f>
        <v/>
      </c>
      <c r="I277" s="10"/>
    </row>
    <row r="278" customFormat="false" ht="15" hidden="false" customHeight="true" outlineLevel="0" collapsed="false">
      <c r="B278" s="11"/>
      <c r="C278" s="18"/>
      <c r="D278" s="10"/>
      <c r="E278" s="10"/>
      <c r="F278" s="10"/>
      <c r="G278" s="10"/>
      <c r="H278" s="19" t="str">
        <f aca="false">IF(B278="","",TEXT(B278,"YYYY-MM"))</f>
        <v/>
      </c>
      <c r="I278" s="10"/>
    </row>
    <row r="279" customFormat="false" ht="15" hidden="false" customHeight="true" outlineLevel="0" collapsed="false">
      <c r="B279" s="11"/>
      <c r="C279" s="18"/>
      <c r="D279" s="10"/>
      <c r="E279" s="10"/>
      <c r="F279" s="10"/>
      <c r="G279" s="10"/>
      <c r="H279" s="19" t="str">
        <f aca="false">IF(B279="","",TEXT(B279,"YYYY-MM"))</f>
        <v/>
      </c>
      <c r="I279" s="10"/>
    </row>
    <row r="280" customFormat="false" ht="15" hidden="false" customHeight="true" outlineLevel="0" collapsed="false">
      <c r="B280" s="11"/>
      <c r="C280" s="18"/>
      <c r="D280" s="10"/>
      <c r="E280" s="10"/>
      <c r="F280" s="10"/>
      <c r="G280" s="10"/>
      <c r="H280" s="19" t="str">
        <f aca="false">IF(B280="","",TEXT(B280,"YYYY-MM"))</f>
        <v/>
      </c>
      <c r="I280" s="10"/>
    </row>
    <row r="281" customFormat="false" ht="15" hidden="false" customHeight="true" outlineLevel="0" collapsed="false">
      <c r="B281" s="11"/>
      <c r="C281" s="18"/>
      <c r="D281" s="10"/>
      <c r="E281" s="10"/>
      <c r="F281" s="10"/>
      <c r="G281" s="10"/>
      <c r="H281" s="19" t="str">
        <f aca="false">IF(B281="","",TEXT(B281,"YYYY-MM"))</f>
        <v/>
      </c>
      <c r="I281" s="10"/>
    </row>
    <row r="282" customFormat="false" ht="15" hidden="false" customHeight="true" outlineLevel="0" collapsed="false">
      <c r="B282" s="11"/>
      <c r="C282" s="18"/>
      <c r="D282" s="10"/>
      <c r="E282" s="10"/>
      <c r="F282" s="10"/>
      <c r="G282" s="10"/>
      <c r="H282" s="19" t="str">
        <f aca="false">IF(B282="","",TEXT(B282,"YYYY-MM"))</f>
        <v/>
      </c>
      <c r="I282" s="10"/>
    </row>
    <row r="283" customFormat="false" ht="15" hidden="false" customHeight="true" outlineLevel="0" collapsed="false">
      <c r="B283" s="11"/>
      <c r="C283" s="18"/>
      <c r="D283" s="10"/>
      <c r="E283" s="10"/>
      <c r="F283" s="10"/>
      <c r="G283" s="10"/>
      <c r="H283" s="19" t="str">
        <f aca="false">IF(B283="","",TEXT(B283,"YYYY-MM"))</f>
        <v/>
      </c>
      <c r="I283" s="10"/>
    </row>
    <row r="284" customFormat="false" ht="15" hidden="false" customHeight="true" outlineLevel="0" collapsed="false">
      <c r="B284" s="11"/>
      <c r="C284" s="18"/>
      <c r="D284" s="10"/>
      <c r="E284" s="10"/>
      <c r="F284" s="10"/>
      <c r="G284" s="10"/>
      <c r="H284" s="19" t="str">
        <f aca="false">IF(B284="","",TEXT(B284,"YYYY-MM"))</f>
        <v/>
      </c>
      <c r="I284" s="10"/>
    </row>
    <row r="285" customFormat="false" ht="15" hidden="false" customHeight="true" outlineLevel="0" collapsed="false">
      <c r="B285" s="11"/>
      <c r="C285" s="18"/>
      <c r="D285" s="10"/>
      <c r="E285" s="10"/>
      <c r="F285" s="10"/>
      <c r="G285" s="10"/>
      <c r="H285" s="19" t="str">
        <f aca="false">IF(B285="","",TEXT(B285,"YYYY-MM"))</f>
        <v/>
      </c>
      <c r="I285" s="10"/>
    </row>
    <row r="286" customFormat="false" ht="15" hidden="false" customHeight="true" outlineLevel="0" collapsed="false">
      <c r="B286" s="11"/>
      <c r="C286" s="18"/>
      <c r="D286" s="10"/>
      <c r="E286" s="10"/>
      <c r="F286" s="10"/>
      <c r="G286" s="10"/>
      <c r="H286" s="19" t="str">
        <f aca="false">IF(B286="","",TEXT(B286,"YYYY-MM"))</f>
        <v/>
      </c>
      <c r="I286" s="10"/>
    </row>
    <row r="287" customFormat="false" ht="15" hidden="false" customHeight="true" outlineLevel="0" collapsed="false">
      <c r="B287" s="11"/>
      <c r="C287" s="18"/>
      <c r="D287" s="10"/>
      <c r="E287" s="10"/>
      <c r="F287" s="10"/>
      <c r="G287" s="10"/>
      <c r="H287" s="19" t="str">
        <f aca="false">IF(B287="","",TEXT(B287,"YYYY-MM"))</f>
        <v/>
      </c>
      <c r="I287" s="10"/>
    </row>
    <row r="288" customFormat="false" ht="15" hidden="false" customHeight="true" outlineLevel="0" collapsed="false">
      <c r="B288" s="11"/>
      <c r="C288" s="18"/>
      <c r="D288" s="10"/>
      <c r="E288" s="10"/>
      <c r="F288" s="10"/>
      <c r="G288" s="10"/>
      <c r="H288" s="19" t="str">
        <f aca="false">IF(B288="","",TEXT(B288,"YYYY-MM"))</f>
        <v/>
      </c>
      <c r="I288" s="10"/>
    </row>
    <row r="289" customFormat="false" ht="15" hidden="false" customHeight="true" outlineLevel="0" collapsed="false">
      <c r="B289" s="11"/>
      <c r="C289" s="18"/>
      <c r="D289" s="10"/>
      <c r="E289" s="10"/>
      <c r="F289" s="10"/>
      <c r="G289" s="10"/>
      <c r="H289" s="19" t="str">
        <f aca="false">IF(B289="","",TEXT(B289,"YYYY-MM"))</f>
        <v/>
      </c>
      <c r="I289" s="10"/>
    </row>
    <row r="290" customFormat="false" ht="15" hidden="false" customHeight="true" outlineLevel="0" collapsed="false">
      <c r="B290" s="11"/>
      <c r="C290" s="18"/>
      <c r="D290" s="10"/>
      <c r="E290" s="10"/>
      <c r="F290" s="10"/>
      <c r="G290" s="10"/>
      <c r="H290" s="19" t="str">
        <f aca="false">IF(B290="","",TEXT(B290,"YYYY-MM"))</f>
        <v/>
      </c>
      <c r="I290" s="10"/>
    </row>
    <row r="291" customFormat="false" ht="15" hidden="false" customHeight="true" outlineLevel="0" collapsed="false">
      <c r="B291" s="11"/>
      <c r="C291" s="18"/>
      <c r="D291" s="10"/>
      <c r="E291" s="10"/>
      <c r="F291" s="10"/>
      <c r="G291" s="10"/>
      <c r="H291" s="19" t="str">
        <f aca="false">IF(B291="","",TEXT(B291,"YYYY-MM"))</f>
        <v/>
      </c>
      <c r="I291" s="10"/>
    </row>
    <row r="292" customFormat="false" ht="15" hidden="false" customHeight="true" outlineLevel="0" collapsed="false">
      <c r="B292" s="11"/>
      <c r="C292" s="18"/>
      <c r="D292" s="10"/>
      <c r="E292" s="10"/>
      <c r="F292" s="10"/>
      <c r="G292" s="10"/>
      <c r="H292" s="19" t="str">
        <f aca="false">IF(B292="","",TEXT(B292,"YYYY-MM"))</f>
        <v/>
      </c>
      <c r="I292" s="10"/>
    </row>
    <row r="293" customFormat="false" ht="15" hidden="false" customHeight="true" outlineLevel="0" collapsed="false">
      <c r="B293" s="11"/>
      <c r="C293" s="18"/>
      <c r="D293" s="10"/>
      <c r="E293" s="10"/>
      <c r="F293" s="10"/>
      <c r="G293" s="10"/>
      <c r="H293" s="19" t="str">
        <f aca="false">IF(B293="","",TEXT(B293,"YYYY-MM"))</f>
        <v/>
      </c>
      <c r="I293" s="10"/>
    </row>
    <row r="294" customFormat="false" ht="15" hidden="false" customHeight="true" outlineLevel="0" collapsed="false">
      <c r="B294" s="11"/>
      <c r="C294" s="18"/>
      <c r="D294" s="10"/>
      <c r="E294" s="10"/>
      <c r="F294" s="10"/>
      <c r="G294" s="10"/>
      <c r="H294" s="19" t="str">
        <f aca="false">IF(B294="","",TEXT(B294,"YYYY-MM"))</f>
        <v/>
      </c>
      <c r="I294" s="10"/>
    </row>
    <row r="295" customFormat="false" ht="15" hidden="false" customHeight="true" outlineLevel="0" collapsed="false">
      <c r="B295" s="11"/>
      <c r="C295" s="18"/>
      <c r="D295" s="10"/>
      <c r="E295" s="10"/>
      <c r="F295" s="10"/>
      <c r="G295" s="10"/>
      <c r="H295" s="19" t="str">
        <f aca="false">IF(B295="","",TEXT(B295,"YYYY-MM"))</f>
        <v/>
      </c>
      <c r="I295" s="10"/>
    </row>
    <row r="296" customFormat="false" ht="15" hidden="false" customHeight="true" outlineLevel="0" collapsed="false">
      <c r="B296" s="11"/>
      <c r="C296" s="18"/>
      <c r="D296" s="10"/>
      <c r="E296" s="10"/>
      <c r="F296" s="10"/>
      <c r="G296" s="10"/>
      <c r="H296" s="19" t="str">
        <f aca="false">IF(B296="","",TEXT(B296,"YYYY-MM"))</f>
        <v/>
      </c>
      <c r="I296" s="10"/>
    </row>
    <row r="297" customFormat="false" ht="15" hidden="false" customHeight="true" outlineLevel="0" collapsed="false">
      <c r="B297" s="11"/>
      <c r="C297" s="18"/>
      <c r="D297" s="10"/>
      <c r="E297" s="10"/>
      <c r="F297" s="10"/>
      <c r="G297" s="10"/>
      <c r="H297" s="19" t="str">
        <f aca="false">IF(B297="","",TEXT(B297,"YYYY-MM"))</f>
        <v/>
      </c>
      <c r="I297" s="10"/>
    </row>
    <row r="298" customFormat="false" ht="15" hidden="false" customHeight="true" outlineLevel="0" collapsed="false">
      <c r="B298" s="11"/>
      <c r="C298" s="18"/>
      <c r="D298" s="10"/>
      <c r="E298" s="10"/>
      <c r="F298" s="10"/>
      <c r="G298" s="10"/>
      <c r="H298" s="19" t="str">
        <f aca="false">IF(B298="","",TEXT(B298,"YYYY-MM"))</f>
        <v/>
      </c>
      <c r="I298" s="10"/>
    </row>
    <row r="299" customFormat="false" ht="15" hidden="false" customHeight="true" outlineLevel="0" collapsed="false">
      <c r="B299" s="11"/>
      <c r="C299" s="18"/>
      <c r="D299" s="10"/>
      <c r="E299" s="10"/>
      <c r="F299" s="10"/>
      <c r="G299" s="10"/>
      <c r="H299" s="19" t="str">
        <f aca="false">IF(B299="","",TEXT(B299,"YYYY-MM"))</f>
        <v/>
      </c>
      <c r="I299" s="10"/>
    </row>
    <row r="300" customFormat="false" ht="15" hidden="false" customHeight="true" outlineLevel="0" collapsed="false">
      <c r="B300" s="11"/>
      <c r="C300" s="18"/>
      <c r="D300" s="10"/>
      <c r="E300" s="10"/>
      <c r="F300" s="10"/>
      <c r="G300" s="10"/>
      <c r="H300" s="19" t="str">
        <f aca="false">IF(B300="","",TEXT(B300,"YYYY-MM"))</f>
        <v/>
      </c>
      <c r="I300" s="10"/>
    </row>
    <row r="301" customFormat="false" ht="15" hidden="false" customHeight="true" outlineLevel="0" collapsed="false">
      <c r="B301" s="11"/>
      <c r="C301" s="18"/>
      <c r="D301" s="10"/>
      <c r="E301" s="10"/>
      <c r="F301" s="10"/>
      <c r="G301" s="10"/>
      <c r="H301" s="19" t="str">
        <f aca="false">IF(B301="","",TEXT(B301,"YYYY-MM"))</f>
        <v/>
      </c>
      <c r="I301" s="10"/>
    </row>
    <row r="302" customFormat="false" ht="15" hidden="false" customHeight="true" outlineLevel="0" collapsed="false">
      <c r="B302" s="11"/>
      <c r="C302" s="18"/>
      <c r="D302" s="10"/>
      <c r="E302" s="10"/>
      <c r="F302" s="10"/>
      <c r="G302" s="10"/>
      <c r="H302" s="19" t="str">
        <f aca="false">IF(B302="","",TEXT(B302,"YYYY-MM"))</f>
        <v/>
      </c>
      <c r="I302" s="10"/>
    </row>
    <row r="303" customFormat="false" ht="15" hidden="false" customHeight="true" outlineLevel="0" collapsed="false">
      <c r="B303" s="11"/>
      <c r="C303" s="18"/>
      <c r="D303" s="10"/>
      <c r="E303" s="10"/>
      <c r="F303" s="10"/>
      <c r="G303" s="10"/>
      <c r="H303" s="19" t="str">
        <f aca="false">IF(B303="","",TEXT(B303,"YYYY-MM"))</f>
        <v/>
      </c>
      <c r="I303" s="10"/>
    </row>
    <row r="304" customFormat="false" ht="15" hidden="false" customHeight="true" outlineLevel="0" collapsed="false">
      <c r="B304" s="11"/>
      <c r="C304" s="18"/>
      <c r="D304" s="10"/>
      <c r="E304" s="10"/>
      <c r="F304" s="10"/>
      <c r="G304" s="10"/>
      <c r="H304" s="19" t="str">
        <f aca="false">IF(B304="","",TEXT(B304,"YYYY-MM"))</f>
        <v/>
      </c>
      <c r="I304" s="10"/>
    </row>
    <row r="305" customFormat="false" ht="15" hidden="false" customHeight="true" outlineLevel="0" collapsed="false">
      <c r="B305" s="11"/>
      <c r="C305" s="18"/>
      <c r="D305" s="10"/>
      <c r="E305" s="10"/>
      <c r="F305" s="10"/>
      <c r="G305" s="10"/>
      <c r="H305" s="19" t="str">
        <f aca="false">IF(B305="","",TEXT(B305,"YYYY-MM"))</f>
        <v/>
      </c>
      <c r="I305" s="10"/>
    </row>
    <row r="306" customFormat="false" ht="15" hidden="false" customHeight="true" outlineLevel="0" collapsed="false">
      <c r="B306" s="11"/>
      <c r="C306" s="18"/>
      <c r="D306" s="10"/>
      <c r="E306" s="10"/>
      <c r="F306" s="10"/>
      <c r="G306" s="10"/>
      <c r="H306" s="19" t="str">
        <f aca="false">IF(B306="","",TEXT(B306,"YYYY-MM"))</f>
        <v/>
      </c>
      <c r="I306" s="10"/>
    </row>
    <row r="307" customFormat="false" ht="15" hidden="false" customHeight="true" outlineLevel="0" collapsed="false">
      <c r="B307" s="11"/>
      <c r="C307" s="18"/>
      <c r="D307" s="10"/>
      <c r="E307" s="10"/>
      <c r="F307" s="10"/>
      <c r="G307" s="10"/>
      <c r="H307" s="19" t="str">
        <f aca="false">IF(B307="","",TEXT(B307,"YYYY-MM"))</f>
        <v/>
      </c>
      <c r="I307" s="10"/>
    </row>
    <row r="308" customFormat="false" ht="15" hidden="false" customHeight="true" outlineLevel="0" collapsed="false">
      <c r="B308" s="11"/>
      <c r="C308" s="18"/>
      <c r="D308" s="10"/>
      <c r="E308" s="10"/>
      <c r="F308" s="10"/>
      <c r="G308" s="10"/>
      <c r="H308" s="19" t="str">
        <f aca="false">IF(B308="","",TEXT(B308,"YYYY-MM"))</f>
        <v/>
      </c>
      <c r="I308" s="10"/>
    </row>
    <row r="309" customFormat="false" ht="15" hidden="false" customHeight="true" outlineLevel="0" collapsed="false">
      <c r="B309" s="11"/>
      <c r="C309" s="18"/>
      <c r="D309" s="10"/>
      <c r="E309" s="10"/>
      <c r="F309" s="10"/>
      <c r="G309" s="10"/>
      <c r="H309" s="19" t="str">
        <f aca="false">IF(B309="","",TEXT(B309,"YYYY-MM"))</f>
        <v/>
      </c>
      <c r="I309" s="10"/>
    </row>
    <row r="310" customFormat="false" ht="15" hidden="false" customHeight="true" outlineLevel="0" collapsed="false">
      <c r="B310" s="11"/>
      <c r="C310" s="18"/>
      <c r="D310" s="10"/>
      <c r="E310" s="10"/>
      <c r="F310" s="10"/>
      <c r="G310" s="10"/>
      <c r="H310" s="19" t="str">
        <f aca="false">IF(B310="","",TEXT(B310,"YYYY-MM"))</f>
        <v/>
      </c>
      <c r="I310" s="10"/>
    </row>
    <row r="311" customFormat="false" ht="15" hidden="false" customHeight="true" outlineLevel="0" collapsed="false">
      <c r="B311" s="11"/>
      <c r="C311" s="18"/>
      <c r="D311" s="10"/>
      <c r="E311" s="10"/>
      <c r="F311" s="10"/>
      <c r="G311" s="10"/>
      <c r="H311" s="19" t="str">
        <f aca="false">IF(B311="","",TEXT(B311,"YYYY-MM"))</f>
        <v/>
      </c>
      <c r="I311" s="10"/>
    </row>
    <row r="312" customFormat="false" ht="15" hidden="false" customHeight="true" outlineLevel="0" collapsed="false">
      <c r="B312" s="11"/>
      <c r="C312" s="18"/>
      <c r="D312" s="10"/>
      <c r="E312" s="10"/>
      <c r="F312" s="10"/>
      <c r="G312" s="10"/>
      <c r="H312" s="19" t="str">
        <f aca="false">IF(B312="","",TEXT(B312,"YYYY-MM"))</f>
        <v/>
      </c>
      <c r="I312" s="10"/>
    </row>
    <row r="313" customFormat="false" ht="15" hidden="false" customHeight="true" outlineLevel="0" collapsed="false">
      <c r="B313" s="11"/>
      <c r="C313" s="18"/>
      <c r="D313" s="10"/>
      <c r="E313" s="10"/>
      <c r="F313" s="10"/>
      <c r="G313" s="10"/>
      <c r="H313" s="19" t="str">
        <f aca="false">IF(B313="","",TEXT(B313,"YYYY-MM"))</f>
        <v/>
      </c>
      <c r="I313" s="10"/>
    </row>
    <row r="314" customFormat="false" ht="15" hidden="false" customHeight="true" outlineLevel="0" collapsed="false">
      <c r="B314" s="11"/>
      <c r="C314" s="18"/>
      <c r="D314" s="10"/>
      <c r="E314" s="10"/>
      <c r="F314" s="10"/>
      <c r="G314" s="10"/>
      <c r="H314" s="19" t="str">
        <f aca="false">IF(B314="","",TEXT(B314,"YYYY-MM"))</f>
        <v/>
      </c>
      <c r="I314" s="10"/>
    </row>
    <row r="315" customFormat="false" ht="15" hidden="false" customHeight="true" outlineLevel="0" collapsed="false">
      <c r="B315" s="11"/>
      <c r="C315" s="18"/>
      <c r="D315" s="10"/>
      <c r="E315" s="10"/>
      <c r="F315" s="10"/>
      <c r="G315" s="10"/>
      <c r="H315" s="19" t="str">
        <f aca="false">IF(B315="","",TEXT(B315,"YYYY-MM"))</f>
        <v/>
      </c>
      <c r="I315" s="10"/>
    </row>
    <row r="316" customFormat="false" ht="15" hidden="false" customHeight="true" outlineLevel="0" collapsed="false">
      <c r="B316" s="11"/>
      <c r="C316" s="18"/>
      <c r="D316" s="10"/>
      <c r="E316" s="10"/>
      <c r="F316" s="10"/>
      <c r="G316" s="10"/>
      <c r="H316" s="19" t="str">
        <f aca="false">IF(B316="","",TEXT(B316,"YYYY-MM"))</f>
        <v/>
      </c>
      <c r="I316" s="10"/>
    </row>
    <row r="317" customFormat="false" ht="15" hidden="false" customHeight="true" outlineLevel="0" collapsed="false">
      <c r="B317" s="11"/>
      <c r="C317" s="18"/>
      <c r="D317" s="10"/>
      <c r="E317" s="10"/>
      <c r="F317" s="10"/>
      <c r="G317" s="10"/>
      <c r="H317" s="19" t="str">
        <f aca="false">IF(B317="","",TEXT(B317,"YYYY-MM"))</f>
        <v/>
      </c>
      <c r="I317" s="10"/>
    </row>
    <row r="318" customFormat="false" ht="15" hidden="false" customHeight="true" outlineLevel="0" collapsed="false">
      <c r="B318" s="11"/>
      <c r="C318" s="18"/>
      <c r="D318" s="10"/>
      <c r="E318" s="10"/>
      <c r="F318" s="10"/>
      <c r="G318" s="10"/>
      <c r="H318" s="19" t="str">
        <f aca="false">IF(B318="","",TEXT(B318,"YYYY-MM"))</f>
        <v/>
      </c>
      <c r="I318" s="10"/>
    </row>
    <row r="319" customFormat="false" ht="15" hidden="false" customHeight="true" outlineLevel="0" collapsed="false">
      <c r="B319" s="11"/>
      <c r="C319" s="18"/>
      <c r="D319" s="10"/>
      <c r="E319" s="10"/>
      <c r="F319" s="10"/>
      <c r="G319" s="10"/>
      <c r="H319" s="19" t="str">
        <f aca="false">IF(B319="","",TEXT(B319,"YYYY-MM"))</f>
        <v/>
      </c>
      <c r="I319" s="10"/>
    </row>
    <row r="320" customFormat="false" ht="15" hidden="false" customHeight="true" outlineLevel="0" collapsed="false">
      <c r="B320" s="11"/>
      <c r="C320" s="18"/>
      <c r="D320" s="10"/>
      <c r="E320" s="10"/>
      <c r="F320" s="10"/>
      <c r="G320" s="10"/>
      <c r="H320" s="19" t="str">
        <f aca="false">IF(B320="","",TEXT(B320,"YYYY-MM"))</f>
        <v/>
      </c>
      <c r="I320" s="10"/>
    </row>
    <row r="321" customFormat="false" ht="15" hidden="false" customHeight="true" outlineLevel="0" collapsed="false">
      <c r="B321" s="11"/>
      <c r="C321" s="18"/>
      <c r="D321" s="10"/>
      <c r="E321" s="10"/>
      <c r="F321" s="10"/>
      <c r="G321" s="10"/>
      <c r="H321" s="19" t="str">
        <f aca="false">IF(B321="","",TEXT(B321,"YYYY-MM"))</f>
        <v/>
      </c>
      <c r="I321" s="10"/>
    </row>
    <row r="322" customFormat="false" ht="15" hidden="false" customHeight="true" outlineLevel="0" collapsed="false">
      <c r="B322" s="11"/>
      <c r="C322" s="18"/>
      <c r="D322" s="10"/>
      <c r="E322" s="10"/>
      <c r="F322" s="10"/>
      <c r="G322" s="10"/>
      <c r="H322" s="19" t="str">
        <f aca="false">IF(B322="","",TEXT(B322,"YYYY-MM"))</f>
        <v/>
      </c>
      <c r="I322" s="10"/>
    </row>
    <row r="323" customFormat="false" ht="15" hidden="false" customHeight="true" outlineLevel="0" collapsed="false">
      <c r="B323" s="11"/>
      <c r="C323" s="18"/>
      <c r="D323" s="10"/>
      <c r="E323" s="10"/>
      <c r="F323" s="10"/>
      <c r="G323" s="10"/>
      <c r="H323" s="19" t="str">
        <f aca="false">IF(B323="","",TEXT(B323,"YYYY-MM"))</f>
        <v/>
      </c>
      <c r="I323" s="10"/>
    </row>
    <row r="324" customFormat="false" ht="15" hidden="false" customHeight="true" outlineLevel="0" collapsed="false">
      <c r="B324" s="11"/>
      <c r="C324" s="18"/>
      <c r="D324" s="10"/>
      <c r="E324" s="10"/>
      <c r="F324" s="10"/>
      <c r="G324" s="10"/>
      <c r="H324" s="19" t="str">
        <f aca="false">IF(B324="","",TEXT(B324,"YYYY-MM"))</f>
        <v/>
      </c>
      <c r="I324" s="10"/>
    </row>
    <row r="325" customFormat="false" ht="15" hidden="false" customHeight="true" outlineLevel="0" collapsed="false">
      <c r="B325" s="11"/>
      <c r="C325" s="18"/>
      <c r="D325" s="10"/>
      <c r="E325" s="10"/>
      <c r="F325" s="10"/>
      <c r="G325" s="10"/>
      <c r="H325" s="19" t="str">
        <f aca="false">IF(B325="","",TEXT(B325,"YYYY-MM"))</f>
        <v/>
      </c>
      <c r="I325" s="10"/>
    </row>
    <row r="326" customFormat="false" ht="15" hidden="false" customHeight="true" outlineLevel="0" collapsed="false">
      <c r="B326" s="11"/>
      <c r="C326" s="18"/>
      <c r="D326" s="10"/>
      <c r="E326" s="10"/>
      <c r="F326" s="10"/>
      <c r="G326" s="10"/>
      <c r="H326" s="19" t="str">
        <f aca="false">IF(B326="","",TEXT(B326,"YYYY-MM"))</f>
        <v/>
      </c>
      <c r="I326" s="10"/>
    </row>
    <row r="327" customFormat="false" ht="15" hidden="false" customHeight="true" outlineLevel="0" collapsed="false">
      <c r="B327" s="11"/>
      <c r="C327" s="18"/>
      <c r="D327" s="10"/>
      <c r="E327" s="10"/>
      <c r="F327" s="10"/>
      <c r="G327" s="10"/>
      <c r="H327" s="19" t="str">
        <f aca="false">IF(B327="","",TEXT(B327,"YYYY-MM"))</f>
        <v/>
      </c>
      <c r="I327" s="10"/>
    </row>
    <row r="328" customFormat="false" ht="15" hidden="false" customHeight="true" outlineLevel="0" collapsed="false">
      <c r="B328" s="11"/>
      <c r="C328" s="18"/>
      <c r="D328" s="10"/>
      <c r="E328" s="10"/>
      <c r="F328" s="10"/>
      <c r="G328" s="10"/>
      <c r="H328" s="19" t="str">
        <f aca="false">IF(B328="","",TEXT(B328,"YYYY-MM"))</f>
        <v/>
      </c>
      <c r="I328" s="10"/>
    </row>
    <row r="329" customFormat="false" ht="15" hidden="false" customHeight="true" outlineLevel="0" collapsed="false">
      <c r="B329" s="11"/>
      <c r="C329" s="18"/>
      <c r="D329" s="10"/>
      <c r="E329" s="10"/>
      <c r="F329" s="10"/>
      <c r="G329" s="10"/>
      <c r="H329" s="19" t="str">
        <f aca="false">IF(B329="","",TEXT(B329,"YYYY-MM"))</f>
        <v/>
      </c>
      <c r="I329" s="10"/>
    </row>
    <row r="330" customFormat="false" ht="15" hidden="false" customHeight="true" outlineLevel="0" collapsed="false">
      <c r="B330" s="11"/>
      <c r="C330" s="18"/>
      <c r="D330" s="10"/>
      <c r="E330" s="10"/>
      <c r="F330" s="10"/>
      <c r="G330" s="10"/>
      <c r="H330" s="19" t="str">
        <f aca="false">IF(B330="","",TEXT(B330,"YYYY-MM"))</f>
        <v/>
      </c>
      <c r="I330" s="10"/>
    </row>
    <row r="331" customFormat="false" ht="15" hidden="false" customHeight="true" outlineLevel="0" collapsed="false">
      <c r="B331" s="11"/>
      <c r="C331" s="18"/>
      <c r="D331" s="10"/>
      <c r="E331" s="10"/>
      <c r="F331" s="10"/>
      <c r="G331" s="10"/>
      <c r="H331" s="19" t="str">
        <f aca="false">IF(B331="","",TEXT(B331,"YYYY-MM"))</f>
        <v/>
      </c>
      <c r="I331" s="10"/>
    </row>
    <row r="332" customFormat="false" ht="15" hidden="false" customHeight="true" outlineLevel="0" collapsed="false">
      <c r="B332" s="11"/>
      <c r="C332" s="18"/>
      <c r="D332" s="10"/>
      <c r="E332" s="10"/>
      <c r="F332" s="10"/>
      <c r="G332" s="10"/>
      <c r="H332" s="19" t="str">
        <f aca="false">IF(B332="","",TEXT(B332,"YYYY-MM"))</f>
        <v/>
      </c>
      <c r="I332" s="10"/>
    </row>
    <row r="333" customFormat="false" ht="15" hidden="false" customHeight="true" outlineLevel="0" collapsed="false">
      <c r="B333" s="11"/>
      <c r="C333" s="18"/>
      <c r="D333" s="10"/>
      <c r="E333" s="10"/>
      <c r="F333" s="10"/>
      <c r="G333" s="10"/>
      <c r="H333" s="19" t="str">
        <f aca="false">IF(B333="","",TEXT(B333,"YYYY-MM"))</f>
        <v/>
      </c>
      <c r="I333" s="10"/>
    </row>
    <row r="334" customFormat="false" ht="15" hidden="false" customHeight="true" outlineLevel="0" collapsed="false">
      <c r="B334" s="11"/>
      <c r="C334" s="18"/>
      <c r="D334" s="10"/>
      <c r="E334" s="10"/>
      <c r="F334" s="10"/>
      <c r="G334" s="10"/>
      <c r="H334" s="19" t="str">
        <f aca="false">IF(B334="","",TEXT(B334,"YYYY-MM"))</f>
        <v/>
      </c>
      <c r="I334" s="10"/>
    </row>
    <row r="335" customFormat="false" ht="15" hidden="false" customHeight="true" outlineLevel="0" collapsed="false">
      <c r="B335" s="11"/>
      <c r="C335" s="18"/>
      <c r="D335" s="10"/>
      <c r="E335" s="10"/>
      <c r="F335" s="10"/>
      <c r="G335" s="10"/>
      <c r="H335" s="19" t="str">
        <f aca="false">IF(B335="","",TEXT(B335,"YYYY-MM"))</f>
        <v/>
      </c>
      <c r="I335" s="10"/>
    </row>
    <row r="336" customFormat="false" ht="15" hidden="false" customHeight="true" outlineLevel="0" collapsed="false">
      <c r="B336" s="11"/>
      <c r="C336" s="18"/>
      <c r="D336" s="10"/>
      <c r="E336" s="10"/>
      <c r="F336" s="10"/>
      <c r="G336" s="10"/>
      <c r="H336" s="19" t="str">
        <f aca="false">IF(B336="","",TEXT(B336,"YYYY-MM"))</f>
        <v/>
      </c>
      <c r="I336" s="10"/>
    </row>
    <row r="337" customFormat="false" ht="15" hidden="false" customHeight="true" outlineLevel="0" collapsed="false">
      <c r="B337" s="11"/>
      <c r="C337" s="18"/>
      <c r="D337" s="10"/>
      <c r="E337" s="10"/>
      <c r="F337" s="10"/>
      <c r="G337" s="10"/>
      <c r="H337" s="19" t="str">
        <f aca="false">IF(B337="","",TEXT(B337,"YYYY-MM"))</f>
        <v/>
      </c>
      <c r="I337" s="10"/>
    </row>
    <row r="338" customFormat="false" ht="15" hidden="false" customHeight="true" outlineLevel="0" collapsed="false">
      <c r="B338" s="11"/>
      <c r="C338" s="18"/>
      <c r="D338" s="10"/>
      <c r="E338" s="10"/>
      <c r="F338" s="10"/>
      <c r="G338" s="10"/>
      <c r="H338" s="19" t="str">
        <f aca="false">IF(B338="","",TEXT(B338,"YYYY-MM"))</f>
        <v/>
      </c>
      <c r="I338" s="10"/>
    </row>
    <row r="339" customFormat="false" ht="15" hidden="false" customHeight="true" outlineLevel="0" collapsed="false">
      <c r="B339" s="11"/>
      <c r="C339" s="18"/>
      <c r="D339" s="10"/>
      <c r="E339" s="10"/>
      <c r="F339" s="10"/>
      <c r="G339" s="10"/>
      <c r="H339" s="19" t="str">
        <f aca="false">IF(B339="","",TEXT(B339,"YYYY-MM"))</f>
        <v/>
      </c>
      <c r="I339" s="10"/>
    </row>
    <row r="340" customFormat="false" ht="15" hidden="false" customHeight="true" outlineLevel="0" collapsed="false">
      <c r="B340" s="11"/>
      <c r="C340" s="18"/>
      <c r="D340" s="10"/>
      <c r="E340" s="10"/>
      <c r="F340" s="10"/>
      <c r="G340" s="10"/>
      <c r="H340" s="19" t="str">
        <f aca="false">IF(B340="","",TEXT(B340,"YYYY-MM"))</f>
        <v/>
      </c>
      <c r="I340" s="10"/>
    </row>
    <row r="341" customFormat="false" ht="15" hidden="false" customHeight="true" outlineLevel="0" collapsed="false">
      <c r="B341" s="11"/>
      <c r="C341" s="18"/>
      <c r="D341" s="10"/>
      <c r="E341" s="10"/>
      <c r="F341" s="10"/>
      <c r="G341" s="10"/>
      <c r="H341" s="19" t="str">
        <f aca="false">IF(B341="","",TEXT(B341,"YYYY-MM"))</f>
        <v/>
      </c>
      <c r="I341" s="10"/>
    </row>
    <row r="342" customFormat="false" ht="15" hidden="false" customHeight="true" outlineLevel="0" collapsed="false">
      <c r="B342" s="11"/>
      <c r="C342" s="18"/>
      <c r="D342" s="10"/>
      <c r="E342" s="10"/>
      <c r="F342" s="10"/>
      <c r="G342" s="10"/>
      <c r="H342" s="19" t="str">
        <f aca="false">IF(B342="","",TEXT(B342,"YYYY-MM"))</f>
        <v/>
      </c>
      <c r="I342" s="10"/>
    </row>
    <row r="343" customFormat="false" ht="15" hidden="false" customHeight="true" outlineLevel="0" collapsed="false">
      <c r="B343" s="11"/>
      <c r="C343" s="18"/>
      <c r="D343" s="10"/>
      <c r="E343" s="10"/>
      <c r="F343" s="10"/>
      <c r="G343" s="10"/>
      <c r="H343" s="19" t="str">
        <f aca="false">IF(B343="","",TEXT(B343,"YYYY-MM"))</f>
        <v/>
      </c>
      <c r="I343" s="10"/>
    </row>
    <row r="344" customFormat="false" ht="15" hidden="false" customHeight="true" outlineLevel="0" collapsed="false">
      <c r="B344" s="11"/>
      <c r="C344" s="18"/>
      <c r="D344" s="10"/>
      <c r="E344" s="10"/>
      <c r="F344" s="10"/>
      <c r="G344" s="10"/>
      <c r="H344" s="19" t="str">
        <f aca="false">IF(B344="","",TEXT(B344,"YYYY-MM"))</f>
        <v/>
      </c>
      <c r="I344" s="10"/>
    </row>
    <row r="345" customFormat="false" ht="15" hidden="false" customHeight="true" outlineLevel="0" collapsed="false">
      <c r="B345" s="11"/>
      <c r="C345" s="18"/>
      <c r="D345" s="10"/>
      <c r="E345" s="10"/>
      <c r="F345" s="10"/>
      <c r="G345" s="10"/>
      <c r="H345" s="19" t="str">
        <f aca="false">IF(B345="","",TEXT(B345,"YYYY-MM"))</f>
        <v/>
      </c>
      <c r="I345" s="10"/>
    </row>
    <row r="346" customFormat="false" ht="15" hidden="false" customHeight="true" outlineLevel="0" collapsed="false">
      <c r="B346" s="11"/>
      <c r="C346" s="18"/>
      <c r="D346" s="10"/>
      <c r="E346" s="10"/>
      <c r="F346" s="10"/>
      <c r="G346" s="10"/>
      <c r="H346" s="19" t="str">
        <f aca="false">IF(B346="","",TEXT(B346,"YYYY-MM"))</f>
        <v/>
      </c>
      <c r="I346" s="10"/>
    </row>
    <row r="347" customFormat="false" ht="15" hidden="false" customHeight="true" outlineLevel="0" collapsed="false">
      <c r="B347" s="11"/>
      <c r="C347" s="18"/>
      <c r="D347" s="10"/>
      <c r="E347" s="10"/>
      <c r="F347" s="10"/>
      <c r="G347" s="10"/>
      <c r="H347" s="19" t="str">
        <f aca="false">IF(B347="","",TEXT(B347,"YYYY-MM"))</f>
        <v/>
      </c>
      <c r="I347" s="10"/>
    </row>
    <row r="348" customFormat="false" ht="15" hidden="false" customHeight="true" outlineLevel="0" collapsed="false">
      <c r="B348" s="11"/>
      <c r="C348" s="18"/>
      <c r="D348" s="10"/>
      <c r="E348" s="10"/>
      <c r="F348" s="10"/>
      <c r="G348" s="10"/>
      <c r="H348" s="19" t="str">
        <f aca="false">IF(B348="","",TEXT(B348,"YYYY-MM"))</f>
        <v/>
      </c>
      <c r="I348" s="10"/>
    </row>
    <row r="349" customFormat="false" ht="15" hidden="false" customHeight="true" outlineLevel="0" collapsed="false">
      <c r="B349" s="11"/>
      <c r="C349" s="18"/>
      <c r="D349" s="10"/>
      <c r="E349" s="10"/>
      <c r="F349" s="10"/>
      <c r="G349" s="10"/>
      <c r="H349" s="19" t="str">
        <f aca="false">IF(B349="","",TEXT(B349,"YYYY-MM"))</f>
        <v/>
      </c>
      <c r="I349" s="10"/>
    </row>
    <row r="350" customFormat="false" ht="15" hidden="false" customHeight="true" outlineLevel="0" collapsed="false">
      <c r="B350" s="11"/>
      <c r="C350" s="18"/>
      <c r="D350" s="10"/>
      <c r="E350" s="10"/>
      <c r="F350" s="10"/>
      <c r="G350" s="10"/>
      <c r="H350" s="19" t="str">
        <f aca="false">IF(B350="","",TEXT(B350,"YYYY-MM"))</f>
        <v/>
      </c>
      <c r="I350" s="10"/>
    </row>
    <row r="351" customFormat="false" ht="15" hidden="false" customHeight="true" outlineLevel="0" collapsed="false">
      <c r="B351" s="11"/>
      <c r="C351" s="18"/>
      <c r="D351" s="10"/>
      <c r="E351" s="10"/>
      <c r="F351" s="10"/>
      <c r="G351" s="10"/>
      <c r="H351" s="19" t="str">
        <f aca="false">IF(B351="","",TEXT(B351,"YYYY-MM"))</f>
        <v/>
      </c>
      <c r="I351" s="10"/>
    </row>
    <row r="352" customFormat="false" ht="15" hidden="false" customHeight="true" outlineLevel="0" collapsed="false">
      <c r="B352" s="11"/>
      <c r="C352" s="18"/>
      <c r="D352" s="10"/>
      <c r="E352" s="10"/>
      <c r="F352" s="10"/>
      <c r="G352" s="10"/>
      <c r="H352" s="19" t="str">
        <f aca="false">IF(B352="","",TEXT(B352,"YYYY-MM"))</f>
        <v/>
      </c>
      <c r="I352" s="10"/>
    </row>
    <row r="353" customFormat="false" ht="15" hidden="false" customHeight="true" outlineLevel="0" collapsed="false">
      <c r="B353" s="11"/>
      <c r="C353" s="18"/>
      <c r="D353" s="10"/>
      <c r="E353" s="10"/>
      <c r="F353" s="10"/>
      <c r="G353" s="10"/>
      <c r="H353" s="19" t="str">
        <f aca="false">IF(B353="","",TEXT(B353,"YYYY-MM"))</f>
        <v/>
      </c>
      <c r="I353" s="10"/>
    </row>
    <row r="354" customFormat="false" ht="15" hidden="false" customHeight="true" outlineLevel="0" collapsed="false">
      <c r="B354" s="11"/>
      <c r="C354" s="18"/>
      <c r="D354" s="10"/>
      <c r="E354" s="10"/>
      <c r="F354" s="10"/>
      <c r="G354" s="10"/>
      <c r="H354" s="19" t="str">
        <f aca="false">IF(B354="","",TEXT(B354,"YYYY-MM"))</f>
        <v/>
      </c>
      <c r="I354" s="10"/>
    </row>
    <row r="355" customFormat="false" ht="15" hidden="false" customHeight="true" outlineLevel="0" collapsed="false">
      <c r="B355" s="11"/>
      <c r="C355" s="18"/>
      <c r="D355" s="10"/>
      <c r="E355" s="10"/>
      <c r="F355" s="10"/>
      <c r="G355" s="10"/>
      <c r="H355" s="19" t="str">
        <f aca="false">IF(B355="","",TEXT(B355,"YYYY-MM"))</f>
        <v/>
      </c>
      <c r="I355" s="10"/>
    </row>
    <row r="356" customFormat="false" ht="15" hidden="false" customHeight="true" outlineLevel="0" collapsed="false">
      <c r="B356" s="11"/>
      <c r="C356" s="18"/>
      <c r="D356" s="10"/>
      <c r="E356" s="10"/>
      <c r="F356" s="10"/>
      <c r="G356" s="10"/>
      <c r="H356" s="19" t="str">
        <f aca="false">IF(B356="","",TEXT(B356,"YYYY-MM"))</f>
        <v/>
      </c>
      <c r="I356" s="10"/>
    </row>
    <row r="357" customFormat="false" ht="15" hidden="false" customHeight="true" outlineLevel="0" collapsed="false">
      <c r="B357" s="11"/>
      <c r="C357" s="18"/>
      <c r="D357" s="10"/>
      <c r="E357" s="10"/>
      <c r="F357" s="10"/>
      <c r="G357" s="10"/>
      <c r="H357" s="19" t="str">
        <f aca="false">IF(B357="","",TEXT(B357,"YYYY-MM"))</f>
        <v/>
      </c>
      <c r="I357" s="10"/>
    </row>
    <row r="358" customFormat="false" ht="15" hidden="false" customHeight="true" outlineLevel="0" collapsed="false">
      <c r="B358" s="11"/>
      <c r="C358" s="18"/>
      <c r="D358" s="10"/>
      <c r="E358" s="10"/>
      <c r="F358" s="10"/>
      <c r="G358" s="10"/>
      <c r="H358" s="19" t="str">
        <f aca="false">IF(B358="","",TEXT(B358,"YYYY-MM"))</f>
        <v/>
      </c>
      <c r="I358" s="10"/>
    </row>
    <row r="359" customFormat="false" ht="15" hidden="false" customHeight="true" outlineLevel="0" collapsed="false">
      <c r="B359" s="11"/>
      <c r="C359" s="18"/>
      <c r="D359" s="10"/>
      <c r="E359" s="10"/>
      <c r="F359" s="10"/>
      <c r="G359" s="10"/>
      <c r="H359" s="19" t="str">
        <f aca="false">IF(B359="","",TEXT(B359,"YYYY-MM"))</f>
        <v/>
      </c>
      <c r="I359" s="10"/>
    </row>
    <row r="360" customFormat="false" ht="15" hidden="false" customHeight="true" outlineLevel="0" collapsed="false">
      <c r="B360" s="11"/>
      <c r="C360" s="18"/>
      <c r="D360" s="10"/>
      <c r="E360" s="10"/>
      <c r="F360" s="10"/>
      <c r="G360" s="10"/>
      <c r="H360" s="19" t="str">
        <f aca="false">IF(B360="","",TEXT(B360,"YYYY-MM"))</f>
        <v/>
      </c>
      <c r="I360" s="10"/>
    </row>
    <row r="361" customFormat="false" ht="15" hidden="false" customHeight="true" outlineLevel="0" collapsed="false">
      <c r="B361" s="11"/>
      <c r="C361" s="18"/>
      <c r="D361" s="10"/>
      <c r="E361" s="10"/>
      <c r="F361" s="10"/>
      <c r="G361" s="10"/>
      <c r="H361" s="19" t="str">
        <f aca="false">IF(B361="","",TEXT(B361,"YYYY-MM"))</f>
        <v/>
      </c>
      <c r="I361" s="10"/>
    </row>
    <row r="362" customFormat="false" ht="15" hidden="false" customHeight="true" outlineLevel="0" collapsed="false">
      <c r="B362" s="11"/>
      <c r="C362" s="18"/>
      <c r="D362" s="10"/>
      <c r="E362" s="10"/>
      <c r="F362" s="10"/>
      <c r="G362" s="10"/>
      <c r="H362" s="19" t="str">
        <f aca="false">IF(B362="","",TEXT(B362,"YYYY-MM"))</f>
        <v/>
      </c>
      <c r="I362" s="10"/>
    </row>
    <row r="363" customFormat="false" ht="15" hidden="false" customHeight="true" outlineLevel="0" collapsed="false">
      <c r="B363" s="11"/>
      <c r="C363" s="18"/>
      <c r="D363" s="10"/>
      <c r="E363" s="10"/>
      <c r="F363" s="10"/>
      <c r="G363" s="10"/>
      <c r="H363" s="19" t="str">
        <f aca="false">IF(B363="","",TEXT(B363,"YYYY-MM"))</f>
        <v/>
      </c>
      <c r="I363" s="10"/>
    </row>
    <row r="364" customFormat="false" ht="15" hidden="false" customHeight="true" outlineLevel="0" collapsed="false">
      <c r="B364" s="11"/>
      <c r="C364" s="18"/>
      <c r="D364" s="10"/>
      <c r="E364" s="10"/>
      <c r="F364" s="10"/>
      <c r="G364" s="10"/>
      <c r="H364" s="19" t="str">
        <f aca="false">IF(B364="","",TEXT(B364,"YYYY-MM"))</f>
        <v/>
      </c>
      <c r="I364" s="10"/>
    </row>
    <row r="365" customFormat="false" ht="15" hidden="false" customHeight="true" outlineLevel="0" collapsed="false">
      <c r="B365" s="11"/>
      <c r="C365" s="18"/>
      <c r="D365" s="10"/>
      <c r="E365" s="10"/>
      <c r="F365" s="10"/>
      <c r="G365" s="10"/>
      <c r="H365" s="19" t="str">
        <f aca="false">IF(B365="","",TEXT(B365,"YYYY-MM"))</f>
        <v/>
      </c>
      <c r="I365" s="10"/>
    </row>
    <row r="366" customFormat="false" ht="15" hidden="false" customHeight="true" outlineLevel="0" collapsed="false">
      <c r="B366" s="11"/>
      <c r="C366" s="18"/>
      <c r="D366" s="10"/>
      <c r="E366" s="10"/>
      <c r="F366" s="10"/>
      <c r="G366" s="10"/>
      <c r="H366" s="19" t="str">
        <f aca="false">IF(B366="","",TEXT(B366,"YYYY-MM"))</f>
        <v/>
      </c>
      <c r="I366" s="10"/>
    </row>
    <row r="367" customFormat="false" ht="15" hidden="false" customHeight="true" outlineLevel="0" collapsed="false">
      <c r="B367" s="11"/>
      <c r="C367" s="18"/>
      <c r="D367" s="10"/>
      <c r="E367" s="10"/>
      <c r="F367" s="10"/>
      <c r="G367" s="10"/>
      <c r="H367" s="19" t="str">
        <f aca="false">IF(B367="","",TEXT(B367,"YYYY-MM"))</f>
        <v/>
      </c>
      <c r="I367" s="10"/>
    </row>
    <row r="368" customFormat="false" ht="15" hidden="false" customHeight="true" outlineLevel="0" collapsed="false">
      <c r="B368" s="11"/>
      <c r="C368" s="18"/>
      <c r="D368" s="10"/>
      <c r="E368" s="10"/>
      <c r="F368" s="10"/>
      <c r="G368" s="10"/>
      <c r="H368" s="19" t="str">
        <f aca="false">IF(B368="","",TEXT(B368,"YYYY-MM"))</f>
        <v/>
      </c>
      <c r="I368" s="10"/>
    </row>
    <row r="369" customFormat="false" ht="15" hidden="false" customHeight="true" outlineLevel="0" collapsed="false">
      <c r="B369" s="11"/>
      <c r="C369" s="18"/>
      <c r="D369" s="10"/>
      <c r="E369" s="10"/>
      <c r="F369" s="10"/>
      <c r="G369" s="10"/>
      <c r="H369" s="19" t="str">
        <f aca="false">IF(B369="","",TEXT(B369,"YYYY-MM"))</f>
        <v/>
      </c>
      <c r="I369" s="10"/>
    </row>
    <row r="370" customFormat="false" ht="15" hidden="false" customHeight="true" outlineLevel="0" collapsed="false">
      <c r="B370" s="11"/>
      <c r="C370" s="18"/>
      <c r="D370" s="10"/>
      <c r="E370" s="10"/>
      <c r="F370" s="10"/>
      <c r="G370" s="10"/>
      <c r="H370" s="19" t="str">
        <f aca="false">IF(B370="","",TEXT(B370,"YYYY-MM"))</f>
        <v/>
      </c>
      <c r="I370" s="10"/>
    </row>
    <row r="371" customFormat="false" ht="15" hidden="false" customHeight="true" outlineLevel="0" collapsed="false">
      <c r="B371" s="11"/>
      <c r="C371" s="18"/>
      <c r="D371" s="10"/>
      <c r="E371" s="10"/>
      <c r="F371" s="10"/>
      <c r="G371" s="10"/>
      <c r="H371" s="19" t="str">
        <f aca="false">IF(B371="","",TEXT(B371,"YYYY-MM"))</f>
        <v/>
      </c>
      <c r="I371" s="10"/>
    </row>
    <row r="372" customFormat="false" ht="15" hidden="false" customHeight="true" outlineLevel="0" collapsed="false">
      <c r="B372" s="11"/>
      <c r="C372" s="18"/>
      <c r="D372" s="10"/>
      <c r="E372" s="10"/>
      <c r="F372" s="10"/>
      <c r="G372" s="10"/>
      <c r="H372" s="19" t="str">
        <f aca="false">IF(B372="","",TEXT(B372,"YYYY-MM"))</f>
        <v/>
      </c>
      <c r="I372" s="10"/>
    </row>
    <row r="373" customFormat="false" ht="15" hidden="false" customHeight="true" outlineLevel="0" collapsed="false">
      <c r="B373" s="11"/>
      <c r="C373" s="18"/>
      <c r="D373" s="10"/>
      <c r="E373" s="10"/>
      <c r="F373" s="10"/>
      <c r="G373" s="10"/>
      <c r="H373" s="19" t="str">
        <f aca="false">IF(B373="","",TEXT(B373,"YYYY-MM"))</f>
        <v/>
      </c>
      <c r="I373" s="10"/>
    </row>
    <row r="374" customFormat="false" ht="15" hidden="false" customHeight="true" outlineLevel="0" collapsed="false">
      <c r="B374" s="11"/>
      <c r="C374" s="18"/>
      <c r="D374" s="10"/>
      <c r="E374" s="10"/>
      <c r="F374" s="10"/>
      <c r="G374" s="10"/>
      <c r="H374" s="19" t="str">
        <f aca="false">IF(B374="","",TEXT(B374,"YYYY-MM"))</f>
        <v/>
      </c>
      <c r="I374" s="10"/>
    </row>
    <row r="375" customFormat="false" ht="15" hidden="false" customHeight="true" outlineLevel="0" collapsed="false">
      <c r="B375" s="11"/>
      <c r="C375" s="18"/>
      <c r="D375" s="10"/>
      <c r="E375" s="10"/>
      <c r="F375" s="10"/>
      <c r="G375" s="10"/>
      <c r="H375" s="19" t="str">
        <f aca="false">IF(B375="","",TEXT(B375,"YYYY-MM"))</f>
        <v/>
      </c>
      <c r="I375" s="10"/>
    </row>
    <row r="376" customFormat="false" ht="15" hidden="false" customHeight="true" outlineLevel="0" collapsed="false">
      <c r="B376" s="11"/>
      <c r="C376" s="18"/>
      <c r="D376" s="10"/>
      <c r="E376" s="10"/>
      <c r="F376" s="10"/>
      <c r="G376" s="10"/>
      <c r="H376" s="19" t="str">
        <f aca="false">IF(B376="","",TEXT(B376,"YYYY-MM"))</f>
        <v/>
      </c>
      <c r="I376" s="10"/>
    </row>
    <row r="377" customFormat="false" ht="15" hidden="false" customHeight="true" outlineLevel="0" collapsed="false">
      <c r="B377" s="11"/>
      <c r="C377" s="18"/>
      <c r="D377" s="10"/>
      <c r="E377" s="10"/>
      <c r="F377" s="10"/>
      <c r="G377" s="10"/>
      <c r="H377" s="19" t="str">
        <f aca="false">IF(B377="","",TEXT(B377,"YYYY-MM"))</f>
        <v/>
      </c>
      <c r="I377" s="10"/>
    </row>
    <row r="378" customFormat="false" ht="15" hidden="false" customHeight="true" outlineLevel="0" collapsed="false">
      <c r="B378" s="11"/>
      <c r="C378" s="18"/>
      <c r="D378" s="10"/>
      <c r="E378" s="10"/>
      <c r="F378" s="10"/>
      <c r="G378" s="10"/>
      <c r="H378" s="19" t="str">
        <f aca="false">IF(B378="","",TEXT(B378,"YYYY-MM"))</f>
        <v/>
      </c>
      <c r="I378" s="10"/>
    </row>
    <row r="379" customFormat="false" ht="15" hidden="false" customHeight="true" outlineLevel="0" collapsed="false">
      <c r="B379" s="11"/>
      <c r="C379" s="18"/>
      <c r="D379" s="10"/>
      <c r="E379" s="10"/>
      <c r="F379" s="10"/>
      <c r="G379" s="10"/>
      <c r="H379" s="19" t="str">
        <f aca="false">IF(B379="","",TEXT(B379,"YYYY-MM"))</f>
        <v/>
      </c>
      <c r="I379" s="10"/>
    </row>
    <row r="380" customFormat="false" ht="15" hidden="false" customHeight="true" outlineLevel="0" collapsed="false">
      <c r="B380" s="11"/>
      <c r="C380" s="18"/>
      <c r="D380" s="10"/>
      <c r="E380" s="10"/>
      <c r="F380" s="10"/>
      <c r="G380" s="10"/>
      <c r="H380" s="19" t="str">
        <f aca="false">IF(B380="","",TEXT(B380,"YYYY-MM"))</f>
        <v/>
      </c>
      <c r="I380" s="10"/>
    </row>
    <row r="381" customFormat="false" ht="15" hidden="false" customHeight="true" outlineLevel="0" collapsed="false">
      <c r="B381" s="11"/>
      <c r="C381" s="18"/>
      <c r="D381" s="10"/>
      <c r="E381" s="10"/>
      <c r="F381" s="10"/>
      <c r="G381" s="10"/>
      <c r="H381" s="19" t="str">
        <f aca="false">IF(B381="","",TEXT(B381,"YYYY-MM"))</f>
        <v/>
      </c>
      <c r="I381" s="10"/>
    </row>
    <row r="382" customFormat="false" ht="15" hidden="false" customHeight="true" outlineLevel="0" collapsed="false">
      <c r="B382" s="11"/>
      <c r="C382" s="18"/>
      <c r="D382" s="10"/>
      <c r="E382" s="10"/>
      <c r="F382" s="10"/>
      <c r="G382" s="10"/>
      <c r="H382" s="19" t="str">
        <f aca="false">IF(B382="","",TEXT(B382,"YYYY-MM"))</f>
        <v/>
      </c>
      <c r="I382" s="10"/>
    </row>
    <row r="383" customFormat="false" ht="15" hidden="false" customHeight="true" outlineLevel="0" collapsed="false">
      <c r="B383" s="11"/>
      <c r="C383" s="18"/>
      <c r="D383" s="10"/>
      <c r="E383" s="10"/>
      <c r="F383" s="10"/>
      <c r="G383" s="10"/>
      <c r="H383" s="19" t="str">
        <f aca="false">IF(B383="","",TEXT(B383,"YYYY-MM"))</f>
        <v/>
      </c>
      <c r="I383" s="10"/>
    </row>
    <row r="384" customFormat="false" ht="15" hidden="false" customHeight="true" outlineLevel="0" collapsed="false">
      <c r="B384" s="11"/>
      <c r="C384" s="18"/>
      <c r="D384" s="10"/>
      <c r="E384" s="10"/>
      <c r="F384" s="10"/>
      <c r="G384" s="10"/>
      <c r="H384" s="19" t="str">
        <f aca="false">IF(B384="","",TEXT(B384,"YYYY-MM"))</f>
        <v/>
      </c>
      <c r="I384" s="10"/>
    </row>
    <row r="385" customFormat="false" ht="15" hidden="false" customHeight="true" outlineLevel="0" collapsed="false">
      <c r="B385" s="11"/>
      <c r="C385" s="18"/>
      <c r="D385" s="10"/>
      <c r="E385" s="10"/>
      <c r="F385" s="10"/>
      <c r="G385" s="10"/>
      <c r="H385" s="19" t="str">
        <f aca="false">IF(B385="","",TEXT(B385,"YYYY-MM"))</f>
        <v/>
      </c>
      <c r="I385" s="10"/>
    </row>
    <row r="386" customFormat="false" ht="15" hidden="false" customHeight="true" outlineLevel="0" collapsed="false">
      <c r="B386" s="11"/>
      <c r="C386" s="18"/>
      <c r="D386" s="10"/>
      <c r="E386" s="10"/>
      <c r="F386" s="10"/>
      <c r="G386" s="10"/>
      <c r="H386" s="19" t="str">
        <f aca="false">IF(B386="","",TEXT(B386,"YYYY-MM"))</f>
        <v/>
      </c>
      <c r="I386" s="10"/>
    </row>
    <row r="387" customFormat="false" ht="15" hidden="false" customHeight="true" outlineLevel="0" collapsed="false">
      <c r="B387" s="11"/>
      <c r="C387" s="18"/>
      <c r="D387" s="10"/>
      <c r="E387" s="10"/>
      <c r="F387" s="10"/>
      <c r="G387" s="10"/>
      <c r="H387" s="19" t="str">
        <f aca="false">IF(B387="","",TEXT(B387,"YYYY-MM"))</f>
        <v/>
      </c>
      <c r="I387" s="10"/>
    </row>
    <row r="388" customFormat="false" ht="15" hidden="false" customHeight="true" outlineLevel="0" collapsed="false">
      <c r="B388" s="11"/>
      <c r="C388" s="18"/>
      <c r="D388" s="10"/>
      <c r="E388" s="10"/>
      <c r="F388" s="10"/>
      <c r="G388" s="10"/>
      <c r="H388" s="19" t="str">
        <f aca="false">IF(B388="","",TEXT(B388,"YYYY-MM"))</f>
        <v/>
      </c>
      <c r="I388" s="10"/>
    </row>
    <row r="389" customFormat="false" ht="15" hidden="false" customHeight="true" outlineLevel="0" collapsed="false">
      <c r="B389" s="11"/>
      <c r="C389" s="18"/>
      <c r="D389" s="10"/>
      <c r="E389" s="10"/>
      <c r="F389" s="10"/>
      <c r="G389" s="10"/>
      <c r="H389" s="19" t="str">
        <f aca="false">IF(B389="","",TEXT(B389,"YYYY-MM"))</f>
        <v/>
      </c>
      <c r="I389" s="10"/>
    </row>
    <row r="390" customFormat="false" ht="15" hidden="false" customHeight="true" outlineLevel="0" collapsed="false">
      <c r="B390" s="11"/>
      <c r="C390" s="18"/>
      <c r="D390" s="10"/>
      <c r="E390" s="10"/>
      <c r="F390" s="10"/>
      <c r="G390" s="10"/>
      <c r="H390" s="19" t="str">
        <f aca="false">IF(B390="","",TEXT(B390,"YYYY-MM"))</f>
        <v/>
      </c>
      <c r="I390" s="10"/>
    </row>
    <row r="391" customFormat="false" ht="15" hidden="false" customHeight="true" outlineLevel="0" collapsed="false">
      <c r="B391" s="11"/>
      <c r="C391" s="18"/>
      <c r="D391" s="10"/>
      <c r="E391" s="10"/>
      <c r="F391" s="10"/>
      <c r="G391" s="10"/>
      <c r="H391" s="19" t="str">
        <f aca="false">IF(B391="","",TEXT(B391,"YYYY-MM"))</f>
        <v/>
      </c>
      <c r="I391" s="10"/>
    </row>
    <row r="392" customFormat="false" ht="15" hidden="false" customHeight="true" outlineLevel="0" collapsed="false">
      <c r="B392" s="11"/>
      <c r="C392" s="18"/>
      <c r="D392" s="10"/>
      <c r="E392" s="10"/>
      <c r="F392" s="10"/>
      <c r="G392" s="10"/>
      <c r="H392" s="19" t="str">
        <f aca="false">IF(B392="","",TEXT(B392,"YYYY-MM"))</f>
        <v/>
      </c>
      <c r="I392" s="10"/>
    </row>
    <row r="393" customFormat="false" ht="15" hidden="false" customHeight="true" outlineLevel="0" collapsed="false">
      <c r="B393" s="11"/>
      <c r="C393" s="18"/>
      <c r="D393" s="10"/>
      <c r="E393" s="10"/>
      <c r="F393" s="10"/>
      <c r="G393" s="10"/>
      <c r="H393" s="19" t="str">
        <f aca="false">IF(B393="","",TEXT(B393,"YYYY-MM"))</f>
        <v/>
      </c>
      <c r="I393" s="10"/>
    </row>
    <row r="394" customFormat="false" ht="15" hidden="false" customHeight="true" outlineLevel="0" collapsed="false">
      <c r="B394" s="11"/>
      <c r="C394" s="18"/>
      <c r="D394" s="10"/>
      <c r="E394" s="10"/>
      <c r="F394" s="10"/>
      <c r="G394" s="10"/>
      <c r="H394" s="19" t="str">
        <f aca="false">IF(B394="","",TEXT(B394,"YYYY-MM"))</f>
        <v/>
      </c>
      <c r="I394" s="10"/>
    </row>
    <row r="395" customFormat="false" ht="15" hidden="false" customHeight="true" outlineLevel="0" collapsed="false">
      <c r="B395" s="11"/>
      <c r="C395" s="18"/>
      <c r="D395" s="10"/>
      <c r="E395" s="10"/>
      <c r="F395" s="10"/>
      <c r="G395" s="10"/>
      <c r="H395" s="19" t="str">
        <f aca="false">IF(B395="","",TEXT(B395,"YYYY-MM"))</f>
        <v/>
      </c>
      <c r="I395" s="10"/>
    </row>
    <row r="396" customFormat="false" ht="15" hidden="false" customHeight="true" outlineLevel="0" collapsed="false">
      <c r="B396" s="11"/>
      <c r="C396" s="18"/>
      <c r="D396" s="10"/>
      <c r="E396" s="10"/>
      <c r="F396" s="10"/>
      <c r="G396" s="10"/>
      <c r="H396" s="19" t="str">
        <f aca="false">IF(B396="","",TEXT(B396,"YYYY-MM"))</f>
        <v/>
      </c>
      <c r="I396" s="10"/>
    </row>
    <row r="397" customFormat="false" ht="15" hidden="false" customHeight="true" outlineLevel="0" collapsed="false">
      <c r="B397" s="11"/>
      <c r="C397" s="18"/>
      <c r="D397" s="10"/>
      <c r="E397" s="10"/>
      <c r="F397" s="10"/>
      <c r="G397" s="10"/>
      <c r="H397" s="19" t="str">
        <f aca="false">IF(B397="","",TEXT(B397,"YYYY-MM"))</f>
        <v/>
      </c>
      <c r="I397" s="10"/>
    </row>
    <row r="398" customFormat="false" ht="15" hidden="false" customHeight="true" outlineLevel="0" collapsed="false">
      <c r="B398" s="11"/>
      <c r="C398" s="18"/>
      <c r="D398" s="10"/>
      <c r="E398" s="10"/>
      <c r="F398" s="10"/>
      <c r="G398" s="10"/>
      <c r="H398" s="19" t="str">
        <f aca="false">IF(B398="","",TEXT(B398,"YYYY-MM"))</f>
        <v/>
      </c>
      <c r="I398" s="10"/>
    </row>
    <row r="399" customFormat="false" ht="15" hidden="false" customHeight="true" outlineLevel="0" collapsed="false">
      <c r="B399" s="11"/>
      <c r="C399" s="18"/>
      <c r="D399" s="10"/>
      <c r="E399" s="10"/>
      <c r="F399" s="10"/>
      <c r="G399" s="10"/>
      <c r="H399" s="19" t="str">
        <f aca="false">IF(B399="","",TEXT(B399,"YYYY-MM"))</f>
        <v/>
      </c>
      <c r="I399" s="10"/>
    </row>
    <row r="400" customFormat="false" ht="15" hidden="false" customHeight="true" outlineLevel="0" collapsed="false">
      <c r="B400" s="11"/>
      <c r="C400" s="18"/>
      <c r="D400" s="10"/>
      <c r="E400" s="10"/>
      <c r="F400" s="10"/>
      <c r="G400" s="10"/>
      <c r="H400" s="19" t="str">
        <f aca="false">IF(B400="","",TEXT(B400,"YYYY-MM"))</f>
        <v/>
      </c>
      <c r="I400" s="10"/>
    </row>
    <row r="401" customFormat="false" ht="15" hidden="false" customHeight="true" outlineLevel="0" collapsed="false">
      <c r="B401" s="11"/>
      <c r="C401" s="18"/>
      <c r="D401" s="10"/>
      <c r="E401" s="10"/>
      <c r="F401" s="10"/>
      <c r="G401" s="10"/>
      <c r="H401" s="19" t="str">
        <f aca="false">IF(B401="","",TEXT(B401,"YYYY-MM"))</f>
        <v/>
      </c>
      <c r="I401" s="10"/>
    </row>
    <row r="402" customFormat="false" ht="15" hidden="false" customHeight="true" outlineLevel="0" collapsed="false">
      <c r="B402" s="11"/>
      <c r="C402" s="18"/>
      <c r="D402" s="10"/>
      <c r="E402" s="10"/>
      <c r="F402" s="10"/>
      <c r="G402" s="10"/>
      <c r="H402" s="19" t="str">
        <f aca="false">IF(B402="","",TEXT(B402,"YYYY-MM"))</f>
        <v/>
      </c>
      <c r="I402" s="10"/>
    </row>
    <row r="403" customFormat="false" ht="15" hidden="false" customHeight="true" outlineLevel="0" collapsed="false">
      <c r="B403" s="11"/>
      <c r="C403" s="18"/>
      <c r="D403" s="10"/>
      <c r="E403" s="10"/>
      <c r="F403" s="10"/>
      <c r="G403" s="10"/>
      <c r="H403" s="19" t="str">
        <f aca="false">IF(B403="","",TEXT(B403,"YYYY-MM"))</f>
        <v/>
      </c>
      <c r="I403" s="10"/>
    </row>
    <row r="404" customFormat="false" ht="15" hidden="false" customHeight="true" outlineLevel="0" collapsed="false">
      <c r="B404" s="11"/>
      <c r="C404" s="18"/>
      <c r="D404" s="10"/>
      <c r="E404" s="10"/>
      <c r="F404" s="10"/>
      <c r="G404" s="10"/>
      <c r="H404" s="19" t="str">
        <f aca="false">IF(B404="","",TEXT(B404,"YYYY-MM"))</f>
        <v/>
      </c>
      <c r="I404" s="10"/>
    </row>
    <row r="405" customFormat="false" ht="15" hidden="false" customHeight="true" outlineLevel="0" collapsed="false">
      <c r="B405" s="11"/>
      <c r="C405" s="18"/>
      <c r="D405" s="10"/>
      <c r="E405" s="10"/>
      <c r="F405" s="10"/>
      <c r="G405" s="10"/>
      <c r="H405" s="19" t="str">
        <f aca="false">IF(B405="","",TEXT(B405,"YYYY-MM"))</f>
        <v/>
      </c>
      <c r="I405" s="10"/>
    </row>
  </sheetData>
  <mergeCells count="2">
    <mergeCell ref="B2:I2"/>
    <mergeCell ref="B3:I3"/>
  </mergeCells>
  <dataValidations count="3">
    <dataValidation allowBlank="true" errorStyle="stop" operator="between" showDropDown="false" showErrorMessage="false" showInputMessage="false" sqref="D6:D405" type="list">
      <formula1>Settings!$B$6:$B$8</formula1>
      <formula2>0</formula2>
    </dataValidation>
    <dataValidation allowBlank="true" errorStyle="stop" operator="between" showDropDown="false" showErrorMessage="false" showInputMessage="false" sqref="F6:F405" type="list">
      <formula1>Settings!$D$6:$D$20</formula1>
      <formula2>0</formula2>
    </dataValidation>
    <dataValidation allowBlank="true" errorStyle="stop" operator="between" showDropDown="false" showErrorMessage="false" showInputMessage="false" sqref="G6:G405" type="list">
      <formula1>Settings!$E$6:$E$12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9" min="9" style="1" width="30"/>
  </cols>
  <sheetData>
    <row r="2" customFormat="false" ht="30" hidden="false" customHeight="true" outlineLevel="0" collapsed="false">
      <c r="B2" s="6" t="s">
        <v>181</v>
      </c>
      <c r="C2" s="6"/>
      <c r="D2" s="6"/>
      <c r="E2" s="6"/>
      <c r="F2" s="6"/>
      <c r="G2" s="6"/>
      <c r="H2" s="6"/>
      <c r="I2" s="6"/>
    </row>
    <row r="3" customFormat="false" ht="19.5" hidden="false" customHeight="true" outlineLevel="0" collapsed="false">
      <c r="B3" s="7" t="s">
        <v>182</v>
      </c>
      <c r="C3" s="7"/>
      <c r="D3" s="7"/>
      <c r="E3" s="7"/>
      <c r="F3" s="7"/>
      <c r="G3" s="7"/>
      <c r="H3" s="7"/>
      <c r="I3" s="7"/>
    </row>
    <row r="5" customFormat="false" ht="24" hidden="false" customHeight="true" outlineLevel="0" collapsed="false">
      <c r="B5" s="14" t="s">
        <v>183</v>
      </c>
      <c r="C5" s="14" t="s">
        <v>133</v>
      </c>
      <c r="D5" s="14" t="s">
        <v>135</v>
      </c>
      <c r="E5" s="14" t="s">
        <v>184</v>
      </c>
      <c r="F5" s="14" t="s">
        <v>185</v>
      </c>
      <c r="G5" s="14" t="s">
        <v>186</v>
      </c>
      <c r="H5" s="14" t="s">
        <v>187</v>
      </c>
      <c r="I5" s="14" t="s">
        <v>137</v>
      </c>
    </row>
    <row r="6" customFormat="false" ht="15" hidden="false" customHeight="true" outlineLevel="0" collapsed="false">
      <c r="B6" s="10" t="s">
        <v>188</v>
      </c>
      <c r="C6" s="10" t="s">
        <v>56</v>
      </c>
      <c r="D6" s="10" t="s">
        <v>100</v>
      </c>
      <c r="E6" s="11" t="n">
        <v>43831</v>
      </c>
      <c r="F6" s="20" t="n">
        <v>8500</v>
      </c>
      <c r="G6" s="20" t="n">
        <v>12400</v>
      </c>
      <c r="H6" s="11" t="n">
        <v>46053</v>
      </c>
      <c r="I6" s="10" t="s">
        <v>189</v>
      </c>
    </row>
    <row r="7" customFormat="false" ht="15" hidden="false" customHeight="true" outlineLevel="0" collapsed="false">
      <c r="B7" s="10" t="s">
        <v>190</v>
      </c>
      <c r="C7" s="10" t="s">
        <v>56</v>
      </c>
      <c r="D7" s="10" t="s">
        <v>100</v>
      </c>
      <c r="E7" s="11" t="n">
        <v>44270</v>
      </c>
      <c r="F7" s="20" t="n">
        <v>20000</v>
      </c>
      <c r="G7" s="20" t="n">
        <v>35000</v>
      </c>
      <c r="H7" s="11" t="n">
        <v>46053</v>
      </c>
      <c r="I7" s="10" t="s">
        <v>191</v>
      </c>
    </row>
    <row r="8" customFormat="false" ht="15" hidden="false" customHeight="true" outlineLevel="0" collapsed="false">
      <c r="B8" s="10" t="s">
        <v>192</v>
      </c>
      <c r="C8" s="10" t="s">
        <v>138</v>
      </c>
      <c r="D8" s="10" t="s">
        <v>102</v>
      </c>
      <c r="E8" s="11" t="n">
        <v>43221</v>
      </c>
      <c r="F8" s="20" t="n">
        <v>45000</v>
      </c>
      <c r="G8" s="20" t="n">
        <v>87500</v>
      </c>
      <c r="H8" s="11" t="n">
        <v>46053</v>
      </c>
      <c r="I8" s="10" t="s">
        <v>193</v>
      </c>
    </row>
    <row r="9" customFormat="false" ht="15" hidden="false" customHeight="true" outlineLevel="0" collapsed="false">
      <c r="B9" s="10" t="s">
        <v>194</v>
      </c>
      <c r="C9" s="10" t="s">
        <v>141</v>
      </c>
      <c r="D9" s="10" t="s">
        <v>104</v>
      </c>
      <c r="E9" s="11" t="n">
        <v>43480</v>
      </c>
      <c r="F9" s="20" t="n">
        <v>12000</v>
      </c>
      <c r="G9" s="20" t="n">
        <v>28400</v>
      </c>
      <c r="H9" s="11" t="n">
        <v>46053</v>
      </c>
      <c r="I9" s="10" t="s">
        <v>195</v>
      </c>
    </row>
    <row r="10" customFormat="false" ht="15" hidden="false" customHeight="true" outlineLevel="0" collapsed="false">
      <c r="B10" s="10" t="s">
        <v>196</v>
      </c>
      <c r="C10" s="10" t="s">
        <v>138</v>
      </c>
      <c r="D10" s="10" t="s">
        <v>104</v>
      </c>
      <c r="E10" s="11" t="n">
        <v>42156</v>
      </c>
      <c r="F10" s="20" t="n">
        <v>80000</v>
      </c>
      <c r="G10" s="20" t="n">
        <v>215000</v>
      </c>
      <c r="H10" s="11" t="n">
        <v>46053</v>
      </c>
      <c r="I10" s="10" t="s">
        <v>197</v>
      </c>
    </row>
    <row r="11" customFormat="false" ht="15" hidden="false" customHeight="true" outlineLevel="0" collapsed="false">
      <c r="B11" s="10" t="s">
        <v>43</v>
      </c>
      <c r="C11" s="10" t="s">
        <v>56</v>
      </c>
      <c r="D11" s="10" t="s">
        <v>106</v>
      </c>
      <c r="E11" s="11" t="n">
        <v>44774</v>
      </c>
      <c r="F11" s="20" t="n">
        <v>450000</v>
      </c>
      <c r="G11" s="20" t="n">
        <v>525000</v>
      </c>
      <c r="H11" s="11" t="n">
        <v>46053</v>
      </c>
      <c r="I11" s="10" t="s">
        <v>198</v>
      </c>
    </row>
    <row r="12" customFormat="false" ht="15" hidden="false" customHeight="true" outlineLevel="0" collapsed="false">
      <c r="B12" s="10" t="s">
        <v>199</v>
      </c>
      <c r="C12" s="10" t="s">
        <v>56</v>
      </c>
      <c r="D12" s="10" t="s">
        <v>108</v>
      </c>
      <c r="E12" s="11" t="n">
        <v>45026</v>
      </c>
      <c r="F12" s="20" t="n">
        <v>42000</v>
      </c>
      <c r="G12" s="20" t="n">
        <v>32000</v>
      </c>
      <c r="H12" s="11" t="n">
        <v>46053</v>
      </c>
      <c r="I12" s="10" t="s">
        <v>200</v>
      </c>
    </row>
    <row r="13" customFormat="false" ht="15" hidden="false" customHeight="true" outlineLevel="0" collapsed="false">
      <c r="B13" s="10" t="s">
        <v>139</v>
      </c>
      <c r="C13" s="10" t="s">
        <v>138</v>
      </c>
      <c r="D13" s="10" t="s">
        <v>110</v>
      </c>
      <c r="E13" s="11" t="n">
        <v>43101</v>
      </c>
      <c r="F13" s="20" t="n">
        <v>0</v>
      </c>
      <c r="G13" s="20" t="n">
        <v>300000</v>
      </c>
      <c r="H13" s="11" t="n">
        <v>46053</v>
      </c>
      <c r="I13" s="10" t="s">
        <v>201</v>
      </c>
    </row>
    <row r="14" customFormat="false" ht="15" hidden="false" customHeight="true" outlineLevel="0" collapsed="false">
      <c r="B14" s="10"/>
      <c r="C14" s="10"/>
      <c r="D14" s="10"/>
      <c r="E14" s="11"/>
      <c r="F14" s="20"/>
      <c r="G14" s="20"/>
      <c r="H14" s="11"/>
      <c r="I14" s="10"/>
    </row>
    <row r="15" customFormat="false" ht="15" hidden="false" customHeight="true" outlineLevel="0" collapsed="false">
      <c r="B15" s="10"/>
      <c r="C15" s="10"/>
      <c r="D15" s="10"/>
      <c r="E15" s="11"/>
      <c r="F15" s="20"/>
      <c r="G15" s="20"/>
      <c r="H15" s="11"/>
      <c r="I15" s="10"/>
    </row>
    <row r="16" customFormat="false" ht="15" hidden="false" customHeight="true" outlineLevel="0" collapsed="false">
      <c r="B16" s="10"/>
      <c r="C16" s="10"/>
      <c r="D16" s="10"/>
      <c r="E16" s="11"/>
      <c r="F16" s="20"/>
      <c r="G16" s="20"/>
      <c r="H16" s="11"/>
      <c r="I16" s="10"/>
    </row>
    <row r="17" customFormat="false" ht="15" hidden="false" customHeight="true" outlineLevel="0" collapsed="false">
      <c r="B17" s="10"/>
      <c r="C17" s="10"/>
      <c r="D17" s="10"/>
      <c r="E17" s="11"/>
      <c r="F17" s="20"/>
      <c r="G17" s="20"/>
      <c r="H17" s="11"/>
      <c r="I17" s="10"/>
    </row>
    <row r="18" customFormat="false" ht="15" hidden="false" customHeight="true" outlineLevel="0" collapsed="false">
      <c r="B18" s="10"/>
      <c r="C18" s="10"/>
      <c r="D18" s="10"/>
      <c r="E18" s="11"/>
      <c r="F18" s="20"/>
      <c r="G18" s="20"/>
      <c r="H18" s="11"/>
      <c r="I18" s="10"/>
    </row>
    <row r="19" customFormat="false" ht="15" hidden="false" customHeight="true" outlineLevel="0" collapsed="false">
      <c r="B19" s="10"/>
      <c r="C19" s="10"/>
      <c r="D19" s="10"/>
      <c r="E19" s="11"/>
      <c r="F19" s="20"/>
      <c r="G19" s="20"/>
      <c r="H19" s="11"/>
      <c r="I19" s="10"/>
    </row>
    <row r="20" customFormat="false" ht="15" hidden="false" customHeight="true" outlineLevel="0" collapsed="false">
      <c r="B20" s="10"/>
      <c r="C20" s="10"/>
      <c r="D20" s="10"/>
      <c r="E20" s="11"/>
      <c r="F20" s="20"/>
      <c r="G20" s="20"/>
      <c r="H20" s="11"/>
      <c r="I20" s="10"/>
    </row>
    <row r="21" customFormat="false" ht="15" hidden="false" customHeight="true" outlineLevel="0" collapsed="false">
      <c r="B21" s="10"/>
      <c r="C21" s="10"/>
      <c r="D21" s="10"/>
      <c r="E21" s="11"/>
      <c r="F21" s="20"/>
      <c r="G21" s="20"/>
      <c r="H21" s="11"/>
      <c r="I21" s="10"/>
    </row>
    <row r="22" customFormat="false" ht="15" hidden="false" customHeight="true" outlineLevel="0" collapsed="false">
      <c r="B22" s="10"/>
      <c r="C22" s="10"/>
      <c r="D22" s="10"/>
      <c r="E22" s="11"/>
      <c r="F22" s="20"/>
      <c r="G22" s="20"/>
      <c r="H22" s="11"/>
      <c r="I22" s="10"/>
    </row>
    <row r="23" customFormat="false" ht="15" hidden="false" customHeight="true" outlineLevel="0" collapsed="false">
      <c r="B23" s="10"/>
      <c r="C23" s="10"/>
      <c r="D23" s="10"/>
      <c r="E23" s="11"/>
      <c r="F23" s="20"/>
      <c r="G23" s="20"/>
      <c r="H23" s="11"/>
      <c r="I23" s="10"/>
    </row>
    <row r="24" customFormat="false" ht="15" hidden="false" customHeight="true" outlineLevel="0" collapsed="false">
      <c r="B24" s="10"/>
      <c r="C24" s="10"/>
      <c r="D24" s="10"/>
      <c r="E24" s="11"/>
      <c r="F24" s="20"/>
      <c r="G24" s="20"/>
      <c r="H24" s="11"/>
      <c r="I24" s="10"/>
    </row>
    <row r="25" customFormat="false" ht="15" hidden="false" customHeight="true" outlineLevel="0" collapsed="false">
      <c r="B25" s="10"/>
      <c r="C25" s="10"/>
      <c r="D25" s="10"/>
      <c r="E25" s="11"/>
      <c r="F25" s="20"/>
      <c r="G25" s="20"/>
      <c r="H25" s="11"/>
      <c r="I25" s="10"/>
    </row>
    <row r="26" customFormat="false" ht="15" hidden="false" customHeight="true" outlineLevel="0" collapsed="false">
      <c r="B26" s="10"/>
      <c r="C26" s="10"/>
      <c r="D26" s="10"/>
      <c r="E26" s="11"/>
      <c r="F26" s="20"/>
      <c r="G26" s="20"/>
      <c r="H26" s="11"/>
      <c r="I26" s="10"/>
    </row>
    <row r="27" customFormat="false" ht="15" hidden="false" customHeight="true" outlineLevel="0" collapsed="false">
      <c r="B27" s="10"/>
      <c r="C27" s="10"/>
      <c r="D27" s="10"/>
      <c r="E27" s="11"/>
      <c r="F27" s="20"/>
      <c r="G27" s="20"/>
      <c r="H27" s="11"/>
      <c r="I27" s="10"/>
    </row>
    <row r="28" customFormat="false" ht="15" hidden="false" customHeight="true" outlineLevel="0" collapsed="false">
      <c r="B28" s="10"/>
      <c r="C28" s="10"/>
      <c r="D28" s="10"/>
      <c r="E28" s="11"/>
      <c r="F28" s="20"/>
      <c r="G28" s="20"/>
      <c r="H28" s="11"/>
      <c r="I28" s="10"/>
    </row>
    <row r="29" customFormat="false" ht="15" hidden="false" customHeight="true" outlineLevel="0" collapsed="false">
      <c r="B29" s="10"/>
      <c r="C29" s="10"/>
      <c r="D29" s="10"/>
      <c r="E29" s="11"/>
      <c r="F29" s="20"/>
      <c r="G29" s="20"/>
      <c r="H29" s="11"/>
      <c r="I29" s="10"/>
    </row>
    <row r="30" customFormat="false" ht="15" hidden="false" customHeight="true" outlineLevel="0" collapsed="false">
      <c r="B30" s="10"/>
      <c r="C30" s="10"/>
      <c r="D30" s="10"/>
      <c r="E30" s="11"/>
      <c r="F30" s="20"/>
      <c r="G30" s="20"/>
      <c r="H30" s="11"/>
      <c r="I30" s="10"/>
    </row>
    <row r="31" customFormat="false" ht="15" hidden="false" customHeight="true" outlineLevel="0" collapsed="false">
      <c r="B31" s="10"/>
      <c r="C31" s="10"/>
      <c r="D31" s="10"/>
      <c r="E31" s="11"/>
      <c r="F31" s="20"/>
      <c r="G31" s="20"/>
      <c r="H31" s="11"/>
      <c r="I31" s="10"/>
    </row>
    <row r="32" customFormat="false" ht="15" hidden="false" customHeight="true" outlineLevel="0" collapsed="false">
      <c r="B32" s="10"/>
      <c r="C32" s="10"/>
      <c r="D32" s="10"/>
      <c r="E32" s="11"/>
      <c r="F32" s="20"/>
      <c r="G32" s="20"/>
      <c r="H32" s="11"/>
      <c r="I32" s="10"/>
    </row>
    <row r="33" customFormat="false" ht="15" hidden="false" customHeight="true" outlineLevel="0" collapsed="false">
      <c r="B33" s="10"/>
      <c r="C33" s="10"/>
      <c r="D33" s="10"/>
      <c r="E33" s="11"/>
      <c r="F33" s="20"/>
      <c r="G33" s="20"/>
      <c r="H33" s="11"/>
      <c r="I33" s="10"/>
    </row>
    <row r="34" customFormat="false" ht="15" hidden="false" customHeight="true" outlineLevel="0" collapsed="false">
      <c r="B34" s="10"/>
      <c r="C34" s="10"/>
      <c r="D34" s="10"/>
      <c r="E34" s="11"/>
      <c r="F34" s="20"/>
      <c r="G34" s="20"/>
      <c r="H34" s="11"/>
      <c r="I34" s="10"/>
    </row>
    <row r="35" customFormat="false" ht="15" hidden="false" customHeight="true" outlineLevel="0" collapsed="false">
      <c r="B35" s="10"/>
      <c r="C35" s="10"/>
      <c r="D35" s="10"/>
      <c r="E35" s="11"/>
      <c r="F35" s="20"/>
      <c r="G35" s="20"/>
      <c r="H35" s="11"/>
      <c r="I35" s="10"/>
    </row>
    <row r="36" customFormat="false" ht="15" hidden="false" customHeight="true" outlineLevel="0" collapsed="false">
      <c r="B36" s="10"/>
      <c r="C36" s="10"/>
      <c r="D36" s="10"/>
      <c r="E36" s="11"/>
      <c r="F36" s="20"/>
      <c r="G36" s="20"/>
      <c r="H36" s="11"/>
      <c r="I36" s="10"/>
    </row>
    <row r="37" customFormat="false" ht="15" hidden="false" customHeight="true" outlineLevel="0" collapsed="false">
      <c r="B37" s="10"/>
      <c r="C37" s="10"/>
      <c r="D37" s="10"/>
      <c r="E37" s="11"/>
      <c r="F37" s="20"/>
      <c r="G37" s="20"/>
      <c r="H37" s="11"/>
      <c r="I37" s="10"/>
    </row>
    <row r="38" customFormat="false" ht="15" hidden="false" customHeight="true" outlineLevel="0" collapsed="false">
      <c r="B38" s="10"/>
      <c r="C38" s="10"/>
      <c r="D38" s="10"/>
      <c r="E38" s="11"/>
      <c r="F38" s="20"/>
      <c r="G38" s="20"/>
      <c r="H38" s="11"/>
      <c r="I38" s="10"/>
    </row>
    <row r="39" customFormat="false" ht="15" hidden="false" customHeight="true" outlineLevel="0" collapsed="false">
      <c r="B39" s="10"/>
      <c r="C39" s="10"/>
      <c r="D39" s="10"/>
      <c r="E39" s="11"/>
      <c r="F39" s="20"/>
      <c r="G39" s="20"/>
      <c r="H39" s="11"/>
      <c r="I39" s="10"/>
    </row>
    <row r="40" customFormat="false" ht="15" hidden="false" customHeight="true" outlineLevel="0" collapsed="false">
      <c r="B40" s="10"/>
      <c r="C40" s="10"/>
      <c r="D40" s="10"/>
      <c r="E40" s="11"/>
      <c r="F40" s="20"/>
      <c r="G40" s="20"/>
      <c r="H40" s="11"/>
      <c r="I40" s="10"/>
    </row>
    <row r="41" customFormat="false" ht="15" hidden="false" customHeight="true" outlineLevel="0" collapsed="false">
      <c r="B41" s="10"/>
      <c r="C41" s="10"/>
      <c r="D41" s="10"/>
      <c r="E41" s="11"/>
      <c r="F41" s="20"/>
      <c r="G41" s="20"/>
      <c r="H41" s="11"/>
      <c r="I41" s="10"/>
    </row>
    <row r="42" customFormat="false" ht="15" hidden="false" customHeight="true" outlineLevel="0" collapsed="false">
      <c r="B42" s="10"/>
      <c r="C42" s="10"/>
      <c r="D42" s="10"/>
      <c r="E42" s="11"/>
      <c r="F42" s="20"/>
      <c r="G42" s="20"/>
      <c r="H42" s="11"/>
      <c r="I42" s="10"/>
    </row>
    <row r="43" customFormat="false" ht="15" hidden="false" customHeight="true" outlineLevel="0" collapsed="false">
      <c r="B43" s="10"/>
      <c r="C43" s="10"/>
      <c r="D43" s="10"/>
      <c r="E43" s="11"/>
      <c r="F43" s="20"/>
      <c r="G43" s="20"/>
      <c r="H43" s="11"/>
      <c r="I43" s="10"/>
    </row>
    <row r="44" customFormat="false" ht="15" hidden="false" customHeight="true" outlineLevel="0" collapsed="false">
      <c r="B44" s="10"/>
      <c r="C44" s="10"/>
      <c r="D44" s="10"/>
      <c r="E44" s="11"/>
      <c r="F44" s="20"/>
      <c r="G44" s="20"/>
      <c r="H44" s="11"/>
      <c r="I44" s="10"/>
    </row>
    <row r="45" customFormat="false" ht="15" hidden="false" customHeight="true" outlineLevel="0" collapsed="false">
      <c r="B45" s="10"/>
      <c r="C45" s="10"/>
      <c r="D45" s="10"/>
      <c r="E45" s="11"/>
      <c r="F45" s="20"/>
      <c r="G45" s="20"/>
      <c r="H45" s="11"/>
      <c r="I45" s="10"/>
    </row>
    <row r="46" customFormat="false" ht="15" hidden="false" customHeight="true" outlineLevel="0" collapsed="false">
      <c r="B46" s="10"/>
      <c r="C46" s="10"/>
      <c r="D46" s="10"/>
      <c r="E46" s="11"/>
      <c r="F46" s="20"/>
      <c r="G46" s="20"/>
      <c r="H46" s="11"/>
      <c r="I46" s="10"/>
    </row>
    <row r="47" customFormat="false" ht="15" hidden="false" customHeight="true" outlineLevel="0" collapsed="false">
      <c r="B47" s="10"/>
      <c r="C47" s="10"/>
      <c r="D47" s="10"/>
      <c r="E47" s="11"/>
      <c r="F47" s="20"/>
      <c r="G47" s="20"/>
      <c r="H47" s="11"/>
      <c r="I47" s="10"/>
    </row>
    <row r="48" customFormat="false" ht="15" hidden="false" customHeight="true" outlineLevel="0" collapsed="false">
      <c r="B48" s="10"/>
      <c r="C48" s="10"/>
      <c r="D48" s="10"/>
      <c r="E48" s="11"/>
      <c r="F48" s="20"/>
      <c r="G48" s="20"/>
      <c r="H48" s="11"/>
      <c r="I48" s="10"/>
    </row>
    <row r="49" customFormat="false" ht="15" hidden="false" customHeight="true" outlineLevel="0" collapsed="false">
      <c r="B49" s="10"/>
      <c r="C49" s="10"/>
      <c r="D49" s="10"/>
      <c r="E49" s="11"/>
      <c r="F49" s="20"/>
      <c r="G49" s="20"/>
      <c r="H49" s="11"/>
      <c r="I49" s="10"/>
    </row>
    <row r="50" customFormat="false" ht="15" hidden="false" customHeight="true" outlineLevel="0" collapsed="false">
      <c r="B50" s="10"/>
      <c r="C50" s="10"/>
      <c r="D50" s="10"/>
      <c r="E50" s="11"/>
      <c r="F50" s="20"/>
      <c r="G50" s="20"/>
      <c r="H50" s="11"/>
      <c r="I50" s="10"/>
    </row>
    <row r="51" customFormat="false" ht="15" hidden="false" customHeight="true" outlineLevel="0" collapsed="false">
      <c r="B51" s="10"/>
      <c r="C51" s="10"/>
      <c r="D51" s="10"/>
      <c r="E51" s="11"/>
      <c r="F51" s="20"/>
      <c r="G51" s="20"/>
      <c r="H51" s="11"/>
      <c r="I51" s="10"/>
    </row>
    <row r="52" customFormat="false" ht="15" hidden="false" customHeight="true" outlineLevel="0" collapsed="false">
      <c r="B52" s="10"/>
      <c r="C52" s="10"/>
      <c r="D52" s="10"/>
      <c r="E52" s="11"/>
      <c r="F52" s="20"/>
      <c r="G52" s="20"/>
      <c r="H52" s="11"/>
      <c r="I52" s="10"/>
    </row>
    <row r="53" customFormat="false" ht="15" hidden="false" customHeight="true" outlineLevel="0" collapsed="false">
      <c r="B53" s="10"/>
      <c r="C53" s="10"/>
      <c r="D53" s="10"/>
      <c r="E53" s="11"/>
      <c r="F53" s="20"/>
      <c r="G53" s="20"/>
      <c r="H53" s="11"/>
      <c r="I53" s="10"/>
    </row>
    <row r="54" customFormat="false" ht="15" hidden="false" customHeight="true" outlineLevel="0" collapsed="false">
      <c r="B54" s="10"/>
      <c r="C54" s="10"/>
      <c r="D54" s="10"/>
      <c r="E54" s="11"/>
      <c r="F54" s="20"/>
      <c r="G54" s="20"/>
      <c r="H54" s="11"/>
      <c r="I54" s="10"/>
    </row>
    <row r="55" customFormat="false" ht="15" hidden="false" customHeight="true" outlineLevel="0" collapsed="false">
      <c r="B55" s="10"/>
      <c r="C55" s="10"/>
      <c r="D55" s="10"/>
      <c r="E55" s="11"/>
      <c r="F55" s="20"/>
      <c r="G55" s="20"/>
      <c r="H55" s="11"/>
      <c r="I55" s="10"/>
    </row>
    <row r="56" customFormat="false" ht="15" hidden="false" customHeight="true" outlineLevel="0" collapsed="false">
      <c r="B56" s="10"/>
      <c r="C56" s="10"/>
      <c r="D56" s="10"/>
      <c r="E56" s="11"/>
      <c r="F56" s="20"/>
      <c r="G56" s="20"/>
      <c r="H56" s="11"/>
      <c r="I56" s="10"/>
    </row>
    <row r="57" customFormat="false" ht="15" hidden="false" customHeight="true" outlineLevel="0" collapsed="false">
      <c r="B57" s="10"/>
      <c r="C57" s="10"/>
      <c r="D57" s="10"/>
      <c r="E57" s="11"/>
      <c r="F57" s="20"/>
      <c r="G57" s="20"/>
      <c r="H57" s="11"/>
      <c r="I57" s="10"/>
    </row>
    <row r="58" customFormat="false" ht="15" hidden="false" customHeight="true" outlineLevel="0" collapsed="false">
      <c r="B58" s="10"/>
      <c r="C58" s="10"/>
      <c r="D58" s="10"/>
      <c r="E58" s="11"/>
      <c r="F58" s="20"/>
      <c r="G58" s="20"/>
      <c r="H58" s="11"/>
      <c r="I58" s="10"/>
    </row>
    <row r="59" customFormat="false" ht="15" hidden="false" customHeight="true" outlineLevel="0" collapsed="false">
      <c r="B59" s="10"/>
      <c r="C59" s="10"/>
      <c r="D59" s="10"/>
      <c r="E59" s="11"/>
      <c r="F59" s="20"/>
      <c r="G59" s="20"/>
      <c r="H59" s="11"/>
      <c r="I59" s="10"/>
    </row>
    <row r="60" customFormat="false" ht="15" hidden="false" customHeight="true" outlineLevel="0" collapsed="false">
      <c r="B60" s="10"/>
      <c r="C60" s="10"/>
      <c r="D60" s="10"/>
      <c r="E60" s="11"/>
      <c r="F60" s="20"/>
      <c r="G60" s="20"/>
      <c r="H60" s="11"/>
      <c r="I60" s="10"/>
    </row>
    <row r="61" customFormat="false" ht="15" hidden="false" customHeight="true" outlineLevel="0" collapsed="false">
      <c r="B61" s="10"/>
      <c r="C61" s="10"/>
      <c r="D61" s="10"/>
      <c r="E61" s="11"/>
      <c r="F61" s="20"/>
      <c r="G61" s="20"/>
      <c r="H61" s="11"/>
      <c r="I61" s="10"/>
    </row>
    <row r="62" customFormat="false" ht="15" hidden="false" customHeight="true" outlineLevel="0" collapsed="false">
      <c r="B62" s="10"/>
      <c r="C62" s="10"/>
      <c r="D62" s="10"/>
      <c r="E62" s="11"/>
      <c r="F62" s="20"/>
      <c r="G62" s="20"/>
      <c r="H62" s="11"/>
      <c r="I62" s="10"/>
    </row>
    <row r="63" customFormat="false" ht="15" hidden="false" customHeight="true" outlineLevel="0" collapsed="false">
      <c r="B63" s="10"/>
      <c r="C63" s="10"/>
      <c r="D63" s="10"/>
      <c r="E63" s="11"/>
      <c r="F63" s="20"/>
      <c r="G63" s="20"/>
      <c r="H63" s="11"/>
      <c r="I63" s="10"/>
    </row>
    <row r="64" customFormat="false" ht="15" hidden="false" customHeight="true" outlineLevel="0" collapsed="false">
      <c r="B64" s="10"/>
      <c r="C64" s="10"/>
      <c r="D64" s="10"/>
      <c r="E64" s="11"/>
      <c r="F64" s="20"/>
      <c r="G64" s="20"/>
      <c r="H64" s="11"/>
      <c r="I64" s="10"/>
    </row>
    <row r="65" customFormat="false" ht="15" hidden="false" customHeight="true" outlineLevel="0" collapsed="false">
      <c r="B65" s="10"/>
      <c r="C65" s="10"/>
      <c r="D65" s="10"/>
      <c r="E65" s="11"/>
      <c r="F65" s="20"/>
      <c r="G65" s="20"/>
      <c r="H65" s="11"/>
      <c r="I65" s="10"/>
    </row>
    <row r="66" customFormat="false" ht="15" hidden="false" customHeight="true" outlineLevel="0" collapsed="false">
      <c r="B66" s="10"/>
      <c r="C66" s="10"/>
      <c r="D66" s="10"/>
      <c r="E66" s="11"/>
      <c r="F66" s="20"/>
      <c r="G66" s="20"/>
      <c r="H66" s="11"/>
      <c r="I66" s="10"/>
    </row>
    <row r="67" customFormat="false" ht="15" hidden="false" customHeight="true" outlineLevel="0" collapsed="false">
      <c r="B67" s="10"/>
      <c r="C67" s="10"/>
      <c r="D67" s="10"/>
      <c r="E67" s="11"/>
      <c r="F67" s="20"/>
      <c r="G67" s="20"/>
      <c r="H67" s="11"/>
      <c r="I67" s="10"/>
    </row>
    <row r="68" customFormat="false" ht="15" hidden="false" customHeight="true" outlineLevel="0" collapsed="false">
      <c r="B68" s="10"/>
      <c r="C68" s="10"/>
      <c r="D68" s="10"/>
      <c r="E68" s="11"/>
      <c r="F68" s="20"/>
      <c r="G68" s="20"/>
      <c r="H68" s="11"/>
      <c r="I68" s="10"/>
    </row>
    <row r="69" customFormat="false" ht="15" hidden="false" customHeight="true" outlineLevel="0" collapsed="false">
      <c r="B69" s="10"/>
      <c r="C69" s="10"/>
      <c r="D69" s="10"/>
      <c r="E69" s="11"/>
      <c r="F69" s="20"/>
      <c r="G69" s="20"/>
      <c r="H69" s="11"/>
      <c r="I69" s="10"/>
    </row>
    <row r="70" customFormat="false" ht="15" hidden="false" customHeight="true" outlineLevel="0" collapsed="false">
      <c r="B70" s="10"/>
      <c r="C70" s="10"/>
      <c r="D70" s="10"/>
      <c r="E70" s="11"/>
      <c r="F70" s="20"/>
      <c r="G70" s="20"/>
      <c r="H70" s="11"/>
      <c r="I70" s="10"/>
    </row>
    <row r="71" customFormat="false" ht="15" hidden="false" customHeight="true" outlineLevel="0" collapsed="false">
      <c r="B71" s="10"/>
      <c r="C71" s="10"/>
      <c r="D71" s="10"/>
      <c r="E71" s="11"/>
      <c r="F71" s="20"/>
      <c r="G71" s="20"/>
      <c r="H71" s="11"/>
      <c r="I71" s="10"/>
    </row>
    <row r="72" customFormat="false" ht="15" hidden="false" customHeight="true" outlineLevel="0" collapsed="false">
      <c r="B72" s="10"/>
      <c r="C72" s="10"/>
      <c r="D72" s="10"/>
      <c r="E72" s="11"/>
      <c r="F72" s="20"/>
      <c r="G72" s="20"/>
      <c r="H72" s="11"/>
      <c r="I72" s="10"/>
    </row>
    <row r="73" customFormat="false" ht="15" hidden="false" customHeight="true" outlineLevel="0" collapsed="false">
      <c r="B73" s="10"/>
      <c r="C73" s="10"/>
      <c r="D73" s="10"/>
      <c r="E73" s="11"/>
      <c r="F73" s="20"/>
      <c r="G73" s="20"/>
      <c r="H73" s="11"/>
      <c r="I73" s="10"/>
    </row>
    <row r="74" customFormat="false" ht="15" hidden="false" customHeight="true" outlineLevel="0" collapsed="false">
      <c r="B74" s="10"/>
      <c r="C74" s="10"/>
      <c r="D74" s="10"/>
      <c r="E74" s="11"/>
      <c r="F74" s="20"/>
      <c r="G74" s="20"/>
      <c r="H74" s="11"/>
      <c r="I74" s="10"/>
    </row>
    <row r="75" customFormat="false" ht="15" hidden="false" customHeight="true" outlineLevel="0" collapsed="false">
      <c r="B75" s="10"/>
      <c r="C75" s="10"/>
      <c r="D75" s="10"/>
      <c r="E75" s="11"/>
      <c r="F75" s="20"/>
      <c r="G75" s="20"/>
      <c r="H75" s="11"/>
      <c r="I75" s="10"/>
    </row>
    <row r="76" customFormat="false" ht="15" hidden="false" customHeight="true" outlineLevel="0" collapsed="false">
      <c r="B76" s="10"/>
      <c r="C76" s="10"/>
      <c r="D76" s="10"/>
      <c r="E76" s="11"/>
      <c r="F76" s="20"/>
      <c r="G76" s="20"/>
      <c r="H76" s="11"/>
      <c r="I76" s="10"/>
    </row>
    <row r="77" customFormat="false" ht="15" hidden="false" customHeight="true" outlineLevel="0" collapsed="false">
      <c r="B77" s="10"/>
      <c r="C77" s="10"/>
      <c r="D77" s="10"/>
      <c r="E77" s="11"/>
      <c r="F77" s="20"/>
      <c r="G77" s="20"/>
      <c r="H77" s="11"/>
      <c r="I77" s="10"/>
    </row>
    <row r="78" customFormat="false" ht="15" hidden="false" customHeight="true" outlineLevel="0" collapsed="false">
      <c r="B78" s="10"/>
      <c r="C78" s="10"/>
      <c r="D78" s="10"/>
      <c r="E78" s="11"/>
      <c r="F78" s="20"/>
      <c r="G78" s="20"/>
      <c r="H78" s="11"/>
      <c r="I78" s="10"/>
    </row>
    <row r="79" customFormat="false" ht="15" hidden="false" customHeight="true" outlineLevel="0" collapsed="false">
      <c r="B79" s="10"/>
      <c r="C79" s="10"/>
      <c r="D79" s="10"/>
      <c r="E79" s="11"/>
      <c r="F79" s="20"/>
      <c r="G79" s="20"/>
      <c r="H79" s="11"/>
      <c r="I79" s="10"/>
    </row>
    <row r="80" customFormat="false" ht="15" hidden="false" customHeight="true" outlineLevel="0" collapsed="false">
      <c r="B80" s="10"/>
      <c r="C80" s="10"/>
      <c r="D80" s="10"/>
      <c r="E80" s="11"/>
      <c r="F80" s="20"/>
      <c r="G80" s="20"/>
      <c r="H80" s="11"/>
      <c r="I80" s="10"/>
    </row>
    <row r="81" customFormat="false" ht="15" hidden="false" customHeight="true" outlineLevel="0" collapsed="false">
      <c r="B81" s="10"/>
      <c r="C81" s="10"/>
      <c r="D81" s="10"/>
      <c r="E81" s="11"/>
      <c r="F81" s="20"/>
      <c r="G81" s="20"/>
      <c r="H81" s="11"/>
      <c r="I81" s="10"/>
    </row>
    <row r="82" customFormat="false" ht="15" hidden="false" customHeight="true" outlineLevel="0" collapsed="false">
      <c r="B82" s="10"/>
      <c r="C82" s="10"/>
      <c r="D82" s="10"/>
      <c r="E82" s="11"/>
      <c r="F82" s="20"/>
      <c r="G82" s="20"/>
      <c r="H82" s="11"/>
      <c r="I82" s="10"/>
    </row>
    <row r="83" customFormat="false" ht="15" hidden="false" customHeight="true" outlineLevel="0" collapsed="false">
      <c r="B83" s="10"/>
      <c r="C83" s="10"/>
      <c r="D83" s="10"/>
      <c r="E83" s="11"/>
      <c r="F83" s="20"/>
      <c r="G83" s="20"/>
      <c r="H83" s="11"/>
      <c r="I83" s="10"/>
    </row>
    <row r="84" customFormat="false" ht="15" hidden="false" customHeight="true" outlineLevel="0" collapsed="false">
      <c r="B84" s="10"/>
      <c r="C84" s="10"/>
      <c r="D84" s="10"/>
      <c r="E84" s="11"/>
      <c r="F84" s="20"/>
      <c r="G84" s="20"/>
      <c r="H84" s="11"/>
      <c r="I84" s="10"/>
    </row>
    <row r="85" customFormat="false" ht="15" hidden="false" customHeight="true" outlineLevel="0" collapsed="false">
      <c r="B85" s="10"/>
      <c r="C85" s="10"/>
      <c r="D85" s="10"/>
      <c r="E85" s="11"/>
      <c r="F85" s="20"/>
      <c r="G85" s="20"/>
      <c r="H85" s="11"/>
      <c r="I85" s="10"/>
    </row>
    <row r="86" customFormat="false" ht="15" hidden="false" customHeight="true" outlineLevel="0" collapsed="false">
      <c r="B86" s="10"/>
      <c r="C86" s="10"/>
      <c r="D86" s="10"/>
      <c r="E86" s="11"/>
      <c r="F86" s="20"/>
      <c r="G86" s="20"/>
      <c r="H86" s="11"/>
      <c r="I86" s="10"/>
    </row>
    <row r="87" customFormat="false" ht="15" hidden="false" customHeight="true" outlineLevel="0" collapsed="false">
      <c r="B87" s="10"/>
      <c r="C87" s="10"/>
      <c r="D87" s="10"/>
      <c r="E87" s="11"/>
      <c r="F87" s="20"/>
      <c r="G87" s="20"/>
      <c r="H87" s="11"/>
      <c r="I87" s="10"/>
    </row>
    <row r="88" customFormat="false" ht="15" hidden="false" customHeight="true" outlineLevel="0" collapsed="false">
      <c r="B88" s="10"/>
      <c r="C88" s="10"/>
      <c r="D88" s="10"/>
      <c r="E88" s="11"/>
      <c r="F88" s="20"/>
      <c r="G88" s="20"/>
      <c r="H88" s="11"/>
      <c r="I88" s="10"/>
    </row>
    <row r="89" customFormat="false" ht="15" hidden="false" customHeight="true" outlineLevel="0" collapsed="false">
      <c r="B89" s="10"/>
      <c r="C89" s="10"/>
      <c r="D89" s="10"/>
      <c r="E89" s="11"/>
      <c r="F89" s="20"/>
      <c r="G89" s="20"/>
      <c r="H89" s="11"/>
      <c r="I89" s="10"/>
    </row>
    <row r="90" customFormat="false" ht="15" hidden="false" customHeight="true" outlineLevel="0" collapsed="false">
      <c r="B90" s="10"/>
      <c r="C90" s="10"/>
      <c r="D90" s="10"/>
      <c r="E90" s="11"/>
      <c r="F90" s="20"/>
      <c r="G90" s="20"/>
      <c r="H90" s="11"/>
      <c r="I90" s="10"/>
    </row>
    <row r="91" customFormat="false" ht="15" hidden="false" customHeight="true" outlineLevel="0" collapsed="false">
      <c r="B91" s="10"/>
      <c r="C91" s="10"/>
      <c r="D91" s="10"/>
      <c r="E91" s="11"/>
      <c r="F91" s="20"/>
      <c r="G91" s="20"/>
      <c r="H91" s="11"/>
      <c r="I91" s="10"/>
    </row>
    <row r="92" customFormat="false" ht="15" hidden="false" customHeight="true" outlineLevel="0" collapsed="false">
      <c r="B92" s="10"/>
      <c r="C92" s="10"/>
      <c r="D92" s="10"/>
      <c r="E92" s="11"/>
      <c r="F92" s="20"/>
      <c r="G92" s="20"/>
      <c r="H92" s="11"/>
      <c r="I92" s="10"/>
    </row>
    <row r="93" customFormat="false" ht="15" hidden="false" customHeight="true" outlineLevel="0" collapsed="false">
      <c r="B93" s="10"/>
      <c r="C93" s="10"/>
      <c r="D93" s="10"/>
      <c r="E93" s="11"/>
      <c r="F93" s="20"/>
      <c r="G93" s="20"/>
      <c r="H93" s="11"/>
      <c r="I93" s="10"/>
    </row>
    <row r="94" customFormat="false" ht="15" hidden="false" customHeight="true" outlineLevel="0" collapsed="false">
      <c r="B94" s="10"/>
      <c r="C94" s="10"/>
      <c r="D94" s="10"/>
      <c r="E94" s="11"/>
      <c r="F94" s="20"/>
      <c r="G94" s="20"/>
      <c r="H94" s="11"/>
      <c r="I94" s="10"/>
    </row>
    <row r="95" customFormat="false" ht="15" hidden="false" customHeight="true" outlineLevel="0" collapsed="false">
      <c r="B95" s="10"/>
      <c r="C95" s="10"/>
      <c r="D95" s="10"/>
      <c r="E95" s="11"/>
      <c r="F95" s="20"/>
      <c r="G95" s="20"/>
      <c r="H95" s="11"/>
      <c r="I95" s="10"/>
    </row>
    <row r="96" customFormat="false" ht="15" hidden="false" customHeight="true" outlineLevel="0" collapsed="false">
      <c r="B96" s="10"/>
      <c r="C96" s="10"/>
      <c r="D96" s="10"/>
      <c r="E96" s="11"/>
      <c r="F96" s="20"/>
      <c r="G96" s="20"/>
      <c r="H96" s="11"/>
      <c r="I96" s="10"/>
    </row>
    <row r="97" customFormat="false" ht="15" hidden="false" customHeight="true" outlineLevel="0" collapsed="false">
      <c r="B97" s="10"/>
      <c r="C97" s="10"/>
      <c r="D97" s="10"/>
      <c r="E97" s="11"/>
      <c r="F97" s="20"/>
      <c r="G97" s="20"/>
      <c r="H97" s="11"/>
      <c r="I97" s="10"/>
    </row>
    <row r="98" customFormat="false" ht="15" hidden="false" customHeight="true" outlineLevel="0" collapsed="false">
      <c r="B98" s="10"/>
      <c r="C98" s="10"/>
      <c r="D98" s="10"/>
      <c r="E98" s="11"/>
      <c r="F98" s="20"/>
      <c r="G98" s="20"/>
      <c r="H98" s="11"/>
      <c r="I98" s="10"/>
    </row>
    <row r="99" customFormat="false" ht="15" hidden="false" customHeight="true" outlineLevel="0" collapsed="false">
      <c r="B99" s="10"/>
      <c r="C99" s="10"/>
      <c r="D99" s="10"/>
      <c r="E99" s="11"/>
      <c r="F99" s="20"/>
      <c r="G99" s="20"/>
      <c r="H99" s="11"/>
      <c r="I99" s="10"/>
    </row>
    <row r="100" customFormat="false" ht="15" hidden="false" customHeight="true" outlineLevel="0" collapsed="false">
      <c r="B100" s="10"/>
      <c r="C100" s="10"/>
      <c r="D100" s="10"/>
      <c r="E100" s="11"/>
      <c r="F100" s="20"/>
      <c r="G100" s="20"/>
      <c r="H100" s="11"/>
      <c r="I100" s="10"/>
    </row>
    <row r="101" customFormat="false" ht="15" hidden="false" customHeight="true" outlineLevel="0" collapsed="false">
      <c r="B101" s="10"/>
      <c r="C101" s="10"/>
      <c r="D101" s="10"/>
      <c r="E101" s="11"/>
      <c r="F101" s="20"/>
      <c r="G101" s="20"/>
      <c r="H101" s="11"/>
      <c r="I101" s="10"/>
    </row>
    <row r="102" customFormat="false" ht="15" hidden="false" customHeight="true" outlineLevel="0" collapsed="false">
      <c r="B102" s="10"/>
      <c r="C102" s="10"/>
      <c r="D102" s="10"/>
      <c r="E102" s="11"/>
      <c r="F102" s="20"/>
      <c r="G102" s="20"/>
      <c r="H102" s="11"/>
      <c r="I102" s="10"/>
    </row>
    <row r="103" customFormat="false" ht="15" hidden="false" customHeight="true" outlineLevel="0" collapsed="false">
      <c r="B103" s="10"/>
      <c r="C103" s="10"/>
      <c r="D103" s="10"/>
      <c r="E103" s="11"/>
      <c r="F103" s="20"/>
      <c r="G103" s="20"/>
      <c r="H103" s="11"/>
      <c r="I103" s="10"/>
    </row>
    <row r="104" customFormat="false" ht="15" hidden="false" customHeight="true" outlineLevel="0" collapsed="false">
      <c r="B104" s="10"/>
      <c r="C104" s="10"/>
      <c r="D104" s="10"/>
      <c r="E104" s="11"/>
      <c r="F104" s="20"/>
      <c r="G104" s="20"/>
      <c r="H104" s="11"/>
      <c r="I104" s="10"/>
    </row>
    <row r="105" customFormat="false" ht="15" hidden="false" customHeight="true" outlineLevel="0" collapsed="false">
      <c r="B105" s="10"/>
      <c r="C105" s="10"/>
      <c r="D105" s="10"/>
      <c r="E105" s="11"/>
      <c r="F105" s="20"/>
      <c r="G105" s="20"/>
      <c r="H105" s="11"/>
      <c r="I105" s="10"/>
    </row>
  </sheetData>
  <mergeCells count="2">
    <mergeCell ref="B2:I2"/>
    <mergeCell ref="B3:I3"/>
  </mergeCells>
  <dataValidations count="2">
    <dataValidation allowBlank="true" errorStyle="stop" operator="between" showDropDown="false" showErrorMessage="false" showInputMessage="false" sqref="C6:C105" type="list">
      <formula1>Settings!$B$6:$B$8</formula1>
      <formula2>0</formula2>
    </dataValidation>
    <dataValidation allowBlank="true" errorStyle="stop" operator="between" showDropDown="false" showErrorMessage="false" showInputMessage="false" sqref="D6:D105" type="list">
      <formula1>Settings!$B$24:$B$30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30"/>
  </cols>
  <sheetData>
    <row r="2" customFormat="false" ht="30" hidden="false" customHeight="true" outlineLevel="0" collapsed="false">
      <c r="B2" s="6" t="s">
        <v>202</v>
      </c>
      <c r="C2" s="6"/>
      <c r="D2" s="6"/>
      <c r="E2" s="6"/>
      <c r="F2" s="6"/>
      <c r="G2" s="6"/>
      <c r="H2" s="6"/>
      <c r="I2" s="6"/>
      <c r="J2" s="6"/>
    </row>
    <row r="3" customFormat="false" ht="19.5" hidden="false" customHeight="true" outlineLevel="0" collapsed="false">
      <c r="B3" s="7" t="s">
        <v>203</v>
      </c>
      <c r="C3" s="7"/>
      <c r="D3" s="7"/>
      <c r="E3" s="7"/>
      <c r="F3" s="7"/>
      <c r="G3" s="7"/>
      <c r="H3" s="7"/>
      <c r="I3" s="7"/>
      <c r="J3" s="7"/>
    </row>
    <row r="5" customFormat="false" ht="24" hidden="false" customHeight="true" outlineLevel="0" collapsed="false">
      <c r="B5" s="14" t="s">
        <v>204</v>
      </c>
      <c r="C5" s="14" t="s">
        <v>133</v>
      </c>
      <c r="D5" s="14" t="s">
        <v>135</v>
      </c>
      <c r="E5" s="14" t="s">
        <v>205</v>
      </c>
      <c r="F5" s="14" t="s">
        <v>206</v>
      </c>
      <c r="G5" s="14" t="s">
        <v>207</v>
      </c>
      <c r="H5" s="14" t="s">
        <v>208</v>
      </c>
      <c r="I5" s="14" t="s">
        <v>187</v>
      </c>
      <c r="J5" s="14" t="s">
        <v>137</v>
      </c>
    </row>
    <row r="6" customFormat="false" ht="15" hidden="false" customHeight="true" outlineLevel="0" collapsed="false">
      <c r="B6" s="10" t="s">
        <v>209</v>
      </c>
      <c r="C6" s="10" t="s">
        <v>56</v>
      </c>
      <c r="D6" s="10" t="s">
        <v>123</v>
      </c>
      <c r="E6" s="20" t="n">
        <v>360000</v>
      </c>
      <c r="F6" s="20" t="n">
        <v>318500</v>
      </c>
      <c r="G6" s="21" t="n">
        <v>0.0625</v>
      </c>
      <c r="H6" s="20" t="n">
        <v>2800</v>
      </c>
      <c r="I6" s="11" t="n">
        <v>46053</v>
      </c>
      <c r="J6" s="10" t="s">
        <v>210</v>
      </c>
    </row>
    <row r="7" customFormat="false" ht="15" hidden="false" customHeight="true" outlineLevel="0" collapsed="false">
      <c r="B7" s="10" t="s">
        <v>211</v>
      </c>
      <c r="C7" s="10" t="s">
        <v>56</v>
      </c>
      <c r="D7" s="10" t="s">
        <v>115</v>
      </c>
      <c r="E7" s="20" t="n">
        <v>15000</v>
      </c>
      <c r="F7" s="20" t="n">
        <v>2400</v>
      </c>
      <c r="G7" s="21" t="n">
        <v>0.2199</v>
      </c>
      <c r="H7" s="20" t="n">
        <v>50</v>
      </c>
      <c r="I7" s="11" t="n">
        <v>46053</v>
      </c>
      <c r="J7" s="10" t="s">
        <v>212</v>
      </c>
    </row>
    <row r="8" customFormat="false" ht="15" hidden="false" customHeight="true" outlineLevel="0" collapsed="false">
      <c r="B8" s="10" t="s">
        <v>213</v>
      </c>
      <c r="C8" s="10" t="s">
        <v>56</v>
      </c>
      <c r="D8" s="10" t="s">
        <v>119</v>
      </c>
      <c r="E8" s="20" t="n">
        <v>38000</v>
      </c>
      <c r="F8" s="20" t="n">
        <v>21500</v>
      </c>
      <c r="G8" s="21" t="n">
        <v>0.0549</v>
      </c>
      <c r="H8" s="20" t="n">
        <v>720</v>
      </c>
      <c r="I8" s="11" t="n">
        <v>46053</v>
      </c>
      <c r="J8" s="10" t="s">
        <v>214</v>
      </c>
    </row>
    <row r="9" customFormat="false" ht="15" hidden="false" customHeight="true" outlineLevel="0" collapsed="false">
      <c r="B9" s="10"/>
      <c r="C9" s="10"/>
      <c r="D9" s="10"/>
      <c r="E9" s="20"/>
      <c r="F9" s="20"/>
      <c r="G9" s="21"/>
      <c r="H9" s="20"/>
      <c r="I9" s="11"/>
      <c r="J9" s="10"/>
    </row>
    <row r="10" customFormat="false" ht="15" hidden="false" customHeight="true" outlineLevel="0" collapsed="false">
      <c r="B10" s="10"/>
      <c r="C10" s="10"/>
      <c r="D10" s="10"/>
      <c r="E10" s="20"/>
      <c r="F10" s="20"/>
      <c r="G10" s="21"/>
      <c r="H10" s="20"/>
      <c r="I10" s="11"/>
      <c r="J10" s="10"/>
    </row>
    <row r="11" customFormat="false" ht="15" hidden="false" customHeight="true" outlineLevel="0" collapsed="false">
      <c r="B11" s="10"/>
      <c r="C11" s="10"/>
      <c r="D11" s="10"/>
      <c r="E11" s="20"/>
      <c r="F11" s="20"/>
      <c r="G11" s="21"/>
      <c r="H11" s="20"/>
      <c r="I11" s="11"/>
      <c r="J11" s="10"/>
    </row>
    <row r="12" customFormat="false" ht="15" hidden="false" customHeight="true" outlineLevel="0" collapsed="false">
      <c r="B12" s="10"/>
      <c r="C12" s="10"/>
      <c r="D12" s="10"/>
      <c r="E12" s="20"/>
      <c r="F12" s="20"/>
      <c r="G12" s="21"/>
      <c r="H12" s="20"/>
      <c r="I12" s="11"/>
      <c r="J12" s="10"/>
    </row>
    <row r="13" customFormat="false" ht="15" hidden="false" customHeight="true" outlineLevel="0" collapsed="false">
      <c r="B13" s="10"/>
      <c r="C13" s="10"/>
      <c r="D13" s="10"/>
      <c r="E13" s="20"/>
      <c r="F13" s="20"/>
      <c r="G13" s="21"/>
      <c r="H13" s="20"/>
      <c r="I13" s="11"/>
      <c r="J13" s="10"/>
    </row>
    <row r="14" customFormat="false" ht="15" hidden="false" customHeight="true" outlineLevel="0" collapsed="false">
      <c r="B14" s="10"/>
      <c r="C14" s="10"/>
      <c r="D14" s="10"/>
      <c r="E14" s="20"/>
      <c r="F14" s="20"/>
      <c r="G14" s="21"/>
      <c r="H14" s="20"/>
      <c r="I14" s="11"/>
      <c r="J14" s="10"/>
    </row>
    <row r="15" customFormat="false" ht="15" hidden="false" customHeight="true" outlineLevel="0" collapsed="false">
      <c r="B15" s="10"/>
      <c r="C15" s="10"/>
      <c r="D15" s="10"/>
      <c r="E15" s="20"/>
      <c r="F15" s="20"/>
      <c r="G15" s="21"/>
      <c r="H15" s="20"/>
      <c r="I15" s="11"/>
      <c r="J15" s="10"/>
    </row>
    <row r="16" customFormat="false" ht="15" hidden="false" customHeight="true" outlineLevel="0" collapsed="false">
      <c r="B16" s="10"/>
      <c r="C16" s="10"/>
      <c r="D16" s="10"/>
      <c r="E16" s="20"/>
      <c r="F16" s="20"/>
      <c r="G16" s="21"/>
      <c r="H16" s="20"/>
      <c r="I16" s="11"/>
      <c r="J16" s="10"/>
    </row>
    <row r="17" customFormat="false" ht="15" hidden="false" customHeight="true" outlineLevel="0" collapsed="false">
      <c r="B17" s="10"/>
      <c r="C17" s="10"/>
      <c r="D17" s="10"/>
      <c r="E17" s="20"/>
      <c r="F17" s="20"/>
      <c r="G17" s="21"/>
      <c r="H17" s="20"/>
      <c r="I17" s="11"/>
      <c r="J17" s="10"/>
    </row>
    <row r="18" customFormat="false" ht="15" hidden="false" customHeight="true" outlineLevel="0" collapsed="false">
      <c r="B18" s="10"/>
      <c r="C18" s="10"/>
      <c r="D18" s="10"/>
      <c r="E18" s="20"/>
      <c r="F18" s="20"/>
      <c r="G18" s="21"/>
      <c r="H18" s="20"/>
      <c r="I18" s="11"/>
      <c r="J18" s="10"/>
    </row>
    <row r="19" customFormat="false" ht="15" hidden="false" customHeight="true" outlineLevel="0" collapsed="false">
      <c r="B19" s="10"/>
      <c r="C19" s="10"/>
      <c r="D19" s="10"/>
      <c r="E19" s="20"/>
      <c r="F19" s="20"/>
      <c r="G19" s="21"/>
      <c r="H19" s="20"/>
      <c r="I19" s="11"/>
      <c r="J19" s="10"/>
    </row>
    <row r="20" customFormat="false" ht="15" hidden="false" customHeight="true" outlineLevel="0" collapsed="false">
      <c r="B20" s="10"/>
      <c r="C20" s="10"/>
      <c r="D20" s="10"/>
      <c r="E20" s="20"/>
      <c r="F20" s="20"/>
      <c r="G20" s="21"/>
      <c r="H20" s="20"/>
      <c r="I20" s="11"/>
      <c r="J20" s="10"/>
    </row>
    <row r="21" customFormat="false" ht="15" hidden="false" customHeight="true" outlineLevel="0" collapsed="false">
      <c r="B21" s="10"/>
      <c r="C21" s="10"/>
      <c r="D21" s="10"/>
      <c r="E21" s="20"/>
      <c r="F21" s="20"/>
      <c r="G21" s="21"/>
      <c r="H21" s="20"/>
      <c r="I21" s="11"/>
      <c r="J21" s="10"/>
    </row>
    <row r="22" customFormat="false" ht="15" hidden="false" customHeight="true" outlineLevel="0" collapsed="false">
      <c r="B22" s="10"/>
      <c r="C22" s="10"/>
      <c r="D22" s="10"/>
      <c r="E22" s="20"/>
      <c r="F22" s="20"/>
      <c r="G22" s="21"/>
      <c r="H22" s="20"/>
      <c r="I22" s="11"/>
      <c r="J22" s="10"/>
    </row>
    <row r="23" customFormat="false" ht="15" hidden="false" customHeight="true" outlineLevel="0" collapsed="false">
      <c r="B23" s="10"/>
      <c r="C23" s="10"/>
      <c r="D23" s="10"/>
      <c r="E23" s="20"/>
      <c r="F23" s="20"/>
      <c r="G23" s="21"/>
      <c r="H23" s="20"/>
      <c r="I23" s="11"/>
      <c r="J23" s="10"/>
    </row>
    <row r="24" customFormat="false" ht="15" hidden="false" customHeight="true" outlineLevel="0" collapsed="false">
      <c r="B24" s="10"/>
      <c r="C24" s="10"/>
      <c r="D24" s="10"/>
      <c r="E24" s="20"/>
      <c r="F24" s="20"/>
      <c r="G24" s="21"/>
      <c r="H24" s="20"/>
      <c r="I24" s="11"/>
      <c r="J24" s="10"/>
    </row>
    <row r="25" customFormat="false" ht="15" hidden="false" customHeight="true" outlineLevel="0" collapsed="false">
      <c r="B25" s="10"/>
      <c r="C25" s="10"/>
      <c r="D25" s="10"/>
      <c r="E25" s="20"/>
      <c r="F25" s="20"/>
      <c r="G25" s="21"/>
      <c r="H25" s="20"/>
      <c r="I25" s="11"/>
      <c r="J25" s="10"/>
    </row>
    <row r="26" customFormat="false" ht="15" hidden="false" customHeight="true" outlineLevel="0" collapsed="false">
      <c r="B26" s="10"/>
      <c r="C26" s="10"/>
      <c r="D26" s="10"/>
      <c r="E26" s="20"/>
      <c r="F26" s="20"/>
      <c r="G26" s="21"/>
      <c r="H26" s="20"/>
      <c r="I26" s="11"/>
      <c r="J26" s="10"/>
    </row>
    <row r="27" customFormat="false" ht="15" hidden="false" customHeight="true" outlineLevel="0" collapsed="false">
      <c r="B27" s="10"/>
      <c r="C27" s="10"/>
      <c r="D27" s="10"/>
      <c r="E27" s="20"/>
      <c r="F27" s="20"/>
      <c r="G27" s="21"/>
      <c r="H27" s="20"/>
      <c r="I27" s="11"/>
      <c r="J27" s="10"/>
    </row>
    <row r="28" customFormat="false" ht="15" hidden="false" customHeight="true" outlineLevel="0" collapsed="false">
      <c r="B28" s="10"/>
      <c r="C28" s="10"/>
      <c r="D28" s="10"/>
      <c r="E28" s="20"/>
      <c r="F28" s="20"/>
      <c r="G28" s="21"/>
      <c r="H28" s="20"/>
      <c r="I28" s="11"/>
      <c r="J28" s="10"/>
    </row>
    <row r="29" customFormat="false" ht="15" hidden="false" customHeight="true" outlineLevel="0" collapsed="false">
      <c r="B29" s="10"/>
      <c r="C29" s="10"/>
      <c r="D29" s="10"/>
      <c r="E29" s="20"/>
      <c r="F29" s="20"/>
      <c r="G29" s="21"/>
      <c r="H29" s="20"/>
      <c r="I29" s="11"/>
      <c r="J29" s="10"/>
    </row>
    <row r="30" customFormat="false" ht="15" hidden="false" customHeight="true" outlineLevel="0" collapsed="false">
      <c r="B30" s="10"/>
      <c r="C30" s="10"/>
      <c r="D30" s="10"/>
      <c r="E30" s="20"/>
      <c r="F30" s="20"/>
      <c r="G30" s="21"/>
      <c r="H30" s="20"/>
      <c r="I30" s="11"/>
      <c r="J30" s="10"/>
    </row>
    <row r="31" customFormat="false" ht="15" hidden="false" customHeight="true" outlineLevel="0" collapsed="false">
      <c r="B31" s="10"/>
      <c r="C31" s="10"/>
      <c r="D31" s="10"/>
      <c r="E31" s="20"/>
      <c r="F31" s="20"/>
      <c r="G31" s="21"/>
      <c r="H31" s="20"/>
      <c r="I31" s="11"/>
      <c r="J31" s="10"/>
    </row>
    <row r="32" customFormat="false" ht="15" hidden="false" customHeight="true" outlineLevel="0" collapsed="false">
      <c r="B32" s="10"/>
      <c r="C32" s="10"/>
      <c r="D32" s="10"/>
      <c r="E32" s="20"/>
      <c r="F32" s="20"/>
      <c r="G32" s="21"/>
      <c r="H32" s="20"/>
      <c r="I32" s="11"/>
      <c r="J32" s="10"/>
    </row>
    <row r="33" customFormat="false" ht="15" hidden="false" customHeight="true" outlineLevel="0" collapsed="false">
      <c r="B33" s="10"/>
      <c r="C33" s="10"/>
      <c r="D33" s="10"/>
      <c r="E33" s="20"/>
      <c r="F33" s="20"/>
      <c r="G33" s="21"/>
      <c r="H33" s="20"/>
      <c r="I33" s="11"/>
      <c r="J33" s="10"/>
    </row>
    <row r="34" customFormat="false" ht="15" hidden="false" customHeight="true" outlineLevel="0" collapsed="false">
      <c r="B34" s="10"/>
      <c r="C34" s="10"/>
      <c r="D34" s="10"/>
      <c r="E34" s="20"/>
      <c r="F34" s="20"/>
      <c r="G34" s="21"/>
      <c r="H34" s="20"/>
      <c r="I34" s="11"/>
      <c r="J34" s="10"/>
    </row>
    <row r="35" customFormat="false" ht="15" hidden="false" customHeight="true" outlineLevel="0" collapsed="false">
      <c r="B35" s="10"/>
      <c r="C35" s="10"/>
      <c r="D35" s="10"/>
      <c r="E35" s="20"/>
      <c r="F35" s="20"/>
      <c r="G35" s="21"/>
      <c r="H35" s="20"/>
      <c r="I35" s="11"/>
      <c r="J35" s="10"/>
    </row>
    <row r="36" customFormat="false" ht="15" hidden="false" customHeight="true" outlineLevel="0" collapsed="false">
      <c r="B36" s="10"/>
      <c r="C36" s="10"/>
      <c r="D36" s="10"/>
      <c r="E36" s="20"/>
      <c r="F36" s="20"/>
      <c r="G36" s="21"/>
      <c r="H36" s="20"/>
      <c r="I36" s="11"/>
      <c r="J36" s="10"/>
    </row>
    <row r="37" customFormat="false" ht="15" hidden="false" customHeight="true" outlineLevel="0" collapsed="false">
      <c r="B37" s="10"/>
      <c r="C37" s="10"/>
      <c r="D37" s="10"/>
      <c r="E37" s="20"/>
      <c r="F37" s="20"/>
      <c r="G37" s="21"/>
      <c r="H37" s="20"/>
      <c r="I37" s="11"/>
      <c r="J37" s="10"/>
    </row>
    <row r="38" customFormat="false" ht="15" hidden="false" customHeight="true" outlineLevel="0" collapsed="false">
      <c r="B38" s="10"/>
      <c r="C38" s="10"/>
      <c r="D38" s="10"/>
      <c r="E38" s="20"/>
      <c r="F38" s="20"/>
      <c r="G38" s="21"/>
      <c r="H38" s="20"/>
      <c r="I38" s="11"/>
      <c r="J38" s="10"/>
    </row>
    <row r="39" customFormat="false" ht="15" hidden="false" customHeight="true" outlineLevel="0" collapsed="false">
      <c r="B39" s="10"/>
      <c r="C39" s="10"/>
      <c r="D39" s="10"/>
      <c r="E39" s="20"/>
      <c r="F39" s="20"/>
      <c r="G39" s="21"/>
      <c r="H39" s="20"/>
      <c r="I39" s="11"/>
      <c r="J39" s="10"/>
    </row>
    <row r="40" customFormat="false" ht="15" hidden="false" customHeight="true" outlineLevel="0" collapsed="false">
      <c r="B40" s="10"/>
      <c r="C40" s="10"/>
      <c r="D40" s="10"/>
      <c r="E40" s="20"/>
      <c r="F40" s="20"/>
      <c r="G40" s="21"/>
      <c r="H40" s="20"/>
      <c r="I40" s="11"/>
      <c r="J40" s="10"/>
    </row>
    <row r="41" customFormat="false" ht="15" hidden="false" customHeight="true" outlineLevel="0" collapsed="false">
      <c r="B41" s="10"/>
      <c r="C41" s="10"/>
      <c r="D41" s="10"/>
      <c r="E41" s="20"/>
      <c r="F41" s="20"/>
      <c r="G41" s="21"/>
      <c r="H41" s="20"/>
      <c r="I41" s="11"/>
      <c r="J41" s="10"/>
    </row>
    <row r="42" customFormat="false" ht="15" hidden="false" customHeight="true" outlineLevel="0" collapsed="false">
      <c r="B42" s="10"/>
      <c r="C42" s="10"/>
      <c r="D42" s="10"/>
      <c r="E42" s="20"/>
      <c r="F42" s="20"/>
      <c r="G42" s="21"/>
      <c r="H42" s="20"/>
      <c r="I42" s="11"/>
      <c r="J42" s="10"/>
    </row>
    <row r="43" customFormat="false" ht="15" hidden="false" customHeight="true" outlineLevel="0" collapsed="false">
      <c r="B43" s="10"/>
      <c r="C43" s="10"/>
      <c r="D43" s="10"/>
      <c r="E43" s="20"/>
      <c r="F43" s="20"/>
      <c r="G43" s="21"/>
      <c r="H43" s="20"/>
      <c r="I43" s="11"/>
      <c r="J43" s="10"/>
    </row>
    <row r="44" customFormat="false" ht="15" hidden="false" customHeight="true" outlineLevel="0" collapsed="false">
      <c r="B44" s="10"/>
      <c r="C44" s="10"/>
      <c r="D44" s="10"/>
      <c r="E44" s="20"/>
      <c r="F44" s="20"/>
      <c r="G44" s="21"/>
      <c r="H44" s="20"/>
      <c r="I44" s="11"/>
      <c r="J44" s="10"/>
    </row>
    <row r="45" customFormat="false" ht="15" hidden="false" customHeight="true" outlineLevel="0" collapsed="false">
      <c r="B45" s="10"/>
      <c r="C45" s="10"/>
      <c r="D45" s="10"/>
      <c r="E45" s="20"/>
      <c r="F45" s="20"/>
      <c r="G45" s="21"/>
      <c r="H45" s="20"/>
      <c r="I45" s="11"/>
      <c r="J45" s="10"/>
    </row>
    <row r="46" customFormat="false" ht="15" hidden="false" customHeight="true" outlineLevel="0" collapsed="false">
      <c r="B46" s="10"/>
      <c r="C46" s="10"/>
      <c r="D46" s="10"/>
      <c r="E46" s="20"/>
      <c r="F46" s="20"/>
      <c r="G46" s="21"/>
      <c r="H46" s="20"/>
      <c r="I46" s="11"/>
      <c r="J46" s="10"/>
    </row>
    <row r="47" customFormat="false" ht="15" hidden="false" customHeight="true" outlineLevel="0" collapsed="false">
      <c r="B47" s="10"/>
      <c r="C47" s="10"/>
      <c r="D47" s="10"/>
      <c r="E47" s="20"/>
      <c r="F47" s="20"/>
      <c r="G47" s="21"/>
      <c r="H47" s="20"/>
      <c r="I47" s="11"/>
      <c r="J47" s="10"/>
    </row>
    <row r="48" customFormat="false" ht="15" hidden="false" customHeight="true" outlineLevel="0" collapsed="false">
      <c r="B48" s="10"/>
      <c r="C48" s="10"/>
      <c r="D48" s="10"/>
      <c r="E48" s="20"/>
      <c r="F48" s="20"/>
      <c r="G48" s="21"/>
      <c r="H48" s="20"/>
      <c r="I48" s="11"/>
      <c r="J48" s="10"/>
    </row>
    <row r="49" customFormat="false" ht="15" hidden="false" customHeight="true" outlineLevel="0" collapsed="false">
      <c r="B49" s="10"/>
      <c r="C49" s="10"/>
      <c r="D49" s="10"/>
      <c r="E49" s="20"/>
      <c r="F49" s="20"/>
      <c r="G49" s="21"/>
      <c r="H49" s="20"/>
      <c r="I49" s="11"/>
      <c r="J49" s="10"/>
    </row>
    <row r="50" customFormat="false" ht="15" hidden="false" customHeight="true" outlineLevel="0" collapsed="false">
      <c r="B50" s="10"/>
      <c r="C50" s="10"/>
      <c r="D50" s="10"/>
      <c r="E50" s="20"/>
      <c r="F50" s="20"/>
      <c r="G50" s="21"/>
      <c r="H50" s="20"/>
      <c r="I50" s="11"/>
      <c r="J50" s="10"/>
    </row>
    <row r="51" customFormat="false" ht="15" hidden="false" customHeight="true" outlineLevel="0" collapsed="false">
      <c r="B51" s="10"/>
      <c r="C51" s="10"/>
      <c r="D51" s="10"/>
      <c r="E51" s="20"/>
      <c r="F51" s="20"/>
      <c r="G51" s="21"/>
      <c r="H51" s="20"/>
      <c r="I51" s="11"/>
      <c r="J51" s="10"/>
    </row>
    <row r="52" customFormat="false" ht="15" hidden="false" customHeight="true" outlineLevel="0" collapsed="false">
      <c r="B52" s="10"/>
      <c r="C52" s="10"/>
      <c r="D52" s="10"/>
      <c r="E52" s="20"/>
      <c r="F52" s="20"/>
      <c r="G52" s="21"/>
      <c r="H52" s="20"/>
      <c r="I52" s="11"/>
      <c r="J52" s="10"/>
    </row>
    <row r="53" customFormat="false" ht="15" hidden="false" customHeight="true" outlineLevel="0" collapsed="false">
      <c r="B53" s="10"/>
      <c r="C53" s="10"/>
      <c r="D53" s="10"/>
      <c r="E53" s="20"/>
      <c r="F53" s="20"/>
      <c r="G53" s="21"/>
      <c r="H53" s="20"/>
      <c r="I53" s="11"/>
      <c r="J53" s="10"/>
    </row>
    <row r="54" customFormat="false" ht="15" hidden="false" customHeight="true" outlineLevel="0" collapsed="false">
      <c r="B54" s="10"/>
      <c r="C54" s="10"/>
      <c r="D54" s="10"/>
      <c r="E54" s="20"/>
      <c r="F54" s="20"/>
      <c r="G54" s="21"/>
      <c r="H54" s="20"/>
      <c r="I54" s="11"/>
      <c r="J54" s="10"/>
    </row>
    <row r="55" customFormat="false" ht="15" hidden="false" customHeight="true" outlineLevel="0" collapsed="false">
      <c r="B55" s="10"/>
      <c r="C55" s="10"/>
      <c r="D55" s="10"/>
      <c r="E55" s="20"/>
      <c r="F55" s="20"/>
      <c r="G55" s="21"/>
      <c r="H55" s="20"/>
      <c r="I55" s="11"/>
      <c r="J55" s="10"/>
    </row>
  </sheetData>
  <mergeCells count="2">
    <mergeCell ref="B2:J2"/>
    <mergeCell ref="B3:J3"/>
  </mergeCells>
  <dataValidations count="2">
    <dataValidation allowBlank="true" errorStyle="stop" operator="between" showDropDown="false" showErrorMessage="false" showInputMessage="false" sqref="C6:C55" type="list">
      <formula1>Settings!$B$6:$B$8</formula1>
      <formula2>0</formula2>
    </dataValidation>
    <dataValidation allowBlank="true" errorStyle="stop" operator="between" showDropDown="false" showErrorMessage="false" showInputMessage="false" sqref="D6:D55" type="list">
      <formula1>Settings!$C$24:$C$30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5" min="3" style="1" width="16"/>
    <col collapsed="false" customWidth="true" hidden="false" outlineLevel="0" max="6" min="6" style="1" width="35"/>
  </cols>
  <sheetData>
    <row r="2" customFormat="false" ht="30" hidden="false" customHeight="true" outlineLevel="0" collapsed="false">
      <c r="B2" s="6" t="s">
        <v>215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216</v>
      </c>
      <c r="C3" s="7"/>
      <c r="D3" s="7"/>
      <c r="E3" s="7"/>
      <c r="F3" s="7"/>
    </row>
    <row r="5" customFormat="false" ht="21.75" hidden="false" customHeight="true" outlineLevel="0" collapsed="false">
      <c r="B5" s="8" t="s">
        <v>217</v>
      </c>
      <c r="C5" s="8"/>
      <c r="D5" s="8"/>
      <c r="E5" s="8"/>
      <c r="F5" s="8"/>
    </row>
    <row r="6" customFormat="false" ht="21.75" hidden="false" customHeight="true" outlineLevel="0" collapsed="false">
      <c r="B6" s="14" t="s">
        <v>218</v>
      </c>
      <c r="C6" s="14" t="s">
        <v>219</v>
      </c>
      <c r="F6" s="14" t="s">
        <v>137</v>
      </c>
    </row>
    <row r="7" customFormat="false" ht="15" hidden="false" customHeight="true" outlineLevel="0" collapsed="false">
      <c r="B7" s="10" t="s">
        <v>220</v>
      </c>
      <c r="C7" s="20" t="n">
        <v>25</v>
      </c>
      <c r="F7" s="10" t="s">
        <v>221</v>
      </c>
    </row>
    <row r="8" customFormat="false" ht="15" hidden="false" customHeight="true" outlineLevel="0" collapsed="false">
      <c r="B8" s="10" t="s">
        <v>222</v>
      </c>
      <c r="C8" s="20" t="n">
        <v>15</v>
      </c>
      <c r="F8" s="10" t="s">
        <v>223</v>
      </c>
    </row>
    <row r="9" customFormat="false" ht="15" hidden="false" customHeight="true" outlineLevel="0" collapsed="false">
      <c r="B9" s="10" t="s">
        <v>224</v>
      </c>
      <c r="C9" s="20" t="n">
        <v>0</v>
      </c>
      <c r="F9" s="10" t="s">
        <v>225</v>
      </c>
    </row>
    <row r="10" customFormat="false" ht="15" hidden="false" customHeight="true" outlineLevel="0" collapsed="false">
      <c r="B10" s="10" t="s">
        <v>226</v>
      </c>
      <c r="C10" s="20" t="n">
        <v>30</v>
      </c>
      <c r="F10" s="10" t="s">
        <v>227</v>
      </c>
    </row>
    <row r="11" customFormat="false" ht="15" hidden="false" customHeight="true" outlineLevel="0" collapsed="false">
      <c r="B11" s="10" t="s">
        <v>228</v>
      </c>
      <c r="C11" s="20" t="n">
        <v>20</v>
      </c>
      <c r="F11" s="10" t="s">
        <v>229</v>
      </c>
    </row>
    <row r="12" customFormat="false" ht="15" hidden="false" customHeight="true" outlineLevel="0" collapsed="false">
      <c r="B12" s="10" t="s">
        <v>230</v>
      </c>
      <c r="C12" s="20" t="n">
        <v>50</v>
      </c>
      <c r="F12" s="10" t="s">
        <v>231</v>
      </c>
    </row>
    <row r="13" customFormat="false" ht="15" hidden="false" customHeight="true" outlineLevel="0" collapsed="false">
      <c r="B13" s="10"/>
      <c r="C13" s="20"/>
      <c r="F13" s="10"/>
    </row>
    <row r="14" customFormat="false" ht="15" hidden="false" customHeight="true" outlineLevel="0" collapsed="false">
      <c r="B14" s="10"/>
      <c r="C14" s="20"/>
      <c r="F14" s="10"/>
    </row>
    <row r="15" customFormat="false" ht="15" hidden="false" customHeight="true" outlineLevel="0" collapsed="false">
      <c r="B15" s="10"/>
      <c r="C15" s="20"/>
      <c r="F15" s="10"/>
    </row>
    <row r="16" customFormat="false" ht="15" hidden="false" customHeight="true" outlineLevel="0" collapsed="false">
      <c r="B16" s="10"/>
      <c r="C16" s="20"/>
      <c r="F16" s="10"/>
    </row>
    <row r="17" customFormat="false" ht="15" hidden="false" customHeight="true" outlineLevel="0" collapsed="false">
      <c r="B17" s="10"/>
      <c r="C17" s="20"/>
      <c r="F17" s="10"/>
    </row>
    <row r="18" customFormat="false" ht="15" hidden="false" customHeight="true" outlineLevel="0" collapsed="false">
      <c r="B18" s="10"/>
      <c r="C18" s="20"/>
      <c r="F18" s="10"/>
    </row>
    <row r="19" customFormat="false" ht="15" hidden="false" customHeight="true" outlineLevel="0" collapsed="false">
      <c r="B19" s="10"/>
      <c r="C19" s="20"/>
      <c r="F19" s="10"/>
    </row>
    <row r="20" customFormat="false" ht="15" hidden="false" customHeight="true" outlineLevel="0" collapsed="false">
      <c r="B20" s="10"/>
      <c r="C20" s="20"/>
      <c r="F20" s="10"/>
    </row>
    <row r="21" customFormat="false" ht="15" hidden="false" customHeight="true" outlineLevel="0" collapsed="false">
      <c r="B21" s="9" t="s">
        <v>232</v>
      </c>
      <c r="C21" s="22" t="n">
        <f aca="false">SUM(C7:C20)</f>
        <v>140</v>
      </c>
      <c r="D21" s="9" t="s">
        <v>233</v>
      </c>
      <c r="E21" s="22" t="n">
        <f aca="false">C21*30</f>
        <v>4200</v>
      </c>
    </row>
    <row r="23" customFormat="false" ht="21.75" hidden="false" customHeight="true" outlineLevel="0" collapsed="false">
      <c r="B23" s="8" t="s">
        <v>234</v>
      </c>
      <c r="C23" s="8"/>
      <c r="D23" s="8"/>
      <c r="E23" s="8"/>
      <c r="F23" s="8"/>
    </row>
    <row r="24" customFormat="false" ht="21.75" hidden="false" customHeight="true" outlineLevel="0" collapsed="false">
      <c r="B24" s="14" t="s">
        <v>235</v>
      </c>
      <c r="C24" s="14" t="s">
        <v>236</v>
      </c>
      <c r="D24" s="14" t="s">
        <v>237</v>
      </c>
      <c r="E24" s="14" t="s">
        <v>238</v>
      </c>
      <c r="F24" s="14" t="s">
        <v>137</v>
      </c>
    </row>
    <row r="25" customFormat="false" ht="15" hidden="false" customHeight="true" outlineLevel="0" collapsed="false">
      <c r="B25" s="10" t="s">
        <v>239</v>
      </c>
      <c r="C25" s="20" t="n">
        <v>12000</v>
      </c>
      <c r="D25" s="23" t="n">
        <v>1</v>
      </c>
      <c r="E25" s="24" t="n">
        <f aca="false">C25*D25</f>
        <v>12000</v>
      </c>
      <c r="F25" s="10" t="s">
        <v>240</v>
      </c>
    </row>
    <row r="26" customFormat="false" ht="15" hidden="false" customHeight="true" outlineLevel="0" collapsed="false">
      <c r="B26" s="10" t="s">
        <v>241</v>
      </c>
      <c r="C26" s="20" t="n">
        <v>2500</v>
      </c>
      <c r="D26" s="23" t="n">
        <v>4</v>
      </c>
      <c r="E26" s="24" t="n">
        <f aca="false">C26*D26</f>
        <v>10000</v>
      </c>
      <c r="F26" s="10" t="s">
        <v>242</v>
      </c>
    </row>
    <row r="27" customFormat="false" ht="15" hidden="false" customHeight="true" outlineLevel="0" collapsed="false">
      <c r="B27" s="10" t="s">
        <v>243</v>
      </c>
      <c r="C27" s="20" t="n">
        <v>3500</v>
      </c>
      <c r="D27" s="23" t="n">
        <v>2</v>
      </c>
      <c r="E27" s="24" t="n">
        <f aca="false">C27*D27</f>
        <v>7000</v>
      </c>
      <c r="F27" s="10" t="s">
        <v>244</v>
      </c>
    </row>
    <row r="28" customFormat="false" ht="15" hidden="false" customHeight="true" outlineLevel="0" collapsed="false">
      <c r="B28" s="10" t="s">
        <v>245</v>
      </c>
      <c r="C28" s="20" t="n">
        <v>8000</v>
      </c>
      <c r="D28" s="23" t="n">
        <v>1</v>
      </c>
      <c r="E28" s="24" t="n">
        <f aca="false">C28*D28</f>
        <v>8000</v>
      </c>
      <c r="F28" s="10" t="s">
        <v>246</v>
      </c>
    </row>
    <row r="29" customFormat="false" ht="15" hidden="false" customHeight="true" outlineLevel="0" collapsed="false">
      <c r="B29" s="10" t="s">
        <v>247</v>
      </c>
      <c r="C29" s="20" t="n">
        <v>5000</v>
      </c>
      <c r="D29" s="23" t="n">
        <v>2</v>
      </c>
      <c r="E29" s="24" t="n">
        <f aca="false">C29*D29</f>
        <v>10000</v>
      </c>
      <c r="F29" s="10" t="s">
        <v>248</v>
      </c>
    </row>
    <row r="30" customFormat="false" ht="15" hidden="false" customHeight="true" outlineLevel="0" collapsed="false">
      <c r="B30" s="10"/>
      <c r="C30" s="20"/>
      <c r="D30" s="25"/>
      <c r="E30" s="24" t="str">
        <f aca="false">IF(OR(C30="",D30=""),"",C30*D30)</f>
        <v/>
      </c>
      <c r="F30" s="10"/>
    </row>
    <row r="31" customFormat="false" ht="15" hidden="false" customHeight="true" outlineLevel="0" collapsed="false">
      <c r="B31" s="10"/>
      <c r="C31" s="20"/>
      <c r="D31" s="25"/>
      <c r="E31" s="24" t="str">
        <f aca="false">IF(OR(C31="",D31=""),"",C31*D31)</f>
        <v/>
      </c>
      <c r="F31" s="10"/>
    </row>
    <row r="32" customFormat="false" ht="15" hidden="false" customHeight="true" outlineLevel="0" collapsed="false">
      <c r="B32" s="10"/>
      <c r="C32" s="20"/>
      <c r="D32" s="25"/>
      <c r="E32" s="24" t="str">
        <f aca="false">IF(OR(C32="",D32=""),"",C32*D32)</f>
        <v/>
      </c>
      <c r="F32" s="10"/>
    </row>
    <row r="33" customFormat="false" ht="15" hidden="false" customHeight="true" outlineLevel="0" collapsed="false">
      <c r="B33" s="10"/>
      <c r="C33" s="20"/>
      <c r="D33" s="25"/>
      <c r="E33" s="24" t="str">
        <f aca="false">IF(OR(C33="",D33=""),"",C33*D33)</f>
        <v/>
      </c>
      <c r="F33" s="10"/>
    </row>
    <row r="34" customFormat="false" ht="15" hidden="false" customHeight="true" outlineLevel="0" collapsed="false">
      <c r="B34" s="10"/>
      <c r="C34" s="20"/>
      <c r="D34" s="25"/>
      <c r="E34" s="24" t="str">
        <f aca="false">IF(OR(C34="",D34=""),"",C34*D34)</f>
        <v/>
      </c>
      <c r="F34" s="10"/>
    </row>
    <row r="35" customFormat="false" ht="15" hidden="false" customHeight="true" outlineLevel="0" collapsed="false">
      <c r="B35" s="10"/>
      <c r="C35" s="20"/>
      <c r="D35" s="25"/>
      <c r="E35" s="24" t="str">
        <f aca="false">IF(OR(C35="",D35=""),"",C35*D35)</f>
        <v/>
      </c>
      <c r="F35" s="10"/>
    </row>
    <row r="36" customFormat="false" ht="15" hidden="false" customHeight="true" outlineLevel="0" collapsed="false">
      <c r="B36" s="10"/>
      <c r="C36" s="20"/>
      <c r="D36" s="25"/>
      <c r="E36" s="24" t="str">
        <f aca="false">IF(OR(C36="",D36=""),"",C36*D36)</f>
        <v/>
      </c>
      <c r="F36" s="10"/>
    </row>
    <row r="37" customFormat="false" ht="15" hidden="false" customHeight="true" outlineLevel="0" collapsed="false">
      <c r="B37" s="10"/>
      <c r="C37" s="20"/>
      <c r="D37" s="25"/>
      <c r="E37" s="24" t="str">
        <f aca="false">IF(OR(C37="",D37=""),"",C37*D37)</f>
        <v/>
      </c>
      <c r="F37" s="10"/>
    </row>
    <row r="38" customFormat="false" ht="15" hidden="false" customHeight="true" outlineLevel="0" collapsed="false">
      <c r="B38" s="9" t="s">
        <v>249</v>
      </c>
      <c r="C38" s="22" t="n">
        <f aca="false">E38/12</f>
        <v>3916.66666666667</v>
      </c>
      <c r="D38" s="26" t="s">
        <v>250</v>
      </c>
      <c r="E38" s="22" t="n">
        <f aca="false">SUM(E25:E37)</f>
        <v>47000</v>
      </c>
    </row>
    <row r="40" customFormat="false" ht="21.75" hidden="false" customHeight="true" outlineLevel="0" collapsed="false">
      <c r="B40" s="8" t="s">
        <v>251</v>
      </c>
      <c r="C40" s="8"/>
      <c r="D40" s="8"/>
      <c r="E40" s="8"/>
      <c r="F40" s="8"/>
    </row>
    <row r="41" customFormat="false" ht="21.75" hidden="false" customHeight="true" outlineLevel="0" collapsed="false">
      <c r="B41" s="14" t="s">
        <v>135</v>
      </c>
      <c r="C41" s="14" t="s">
        <v>252</v>
      </c>
      <c r="F41" s="14" t="s">
        <v>137</v>
      </c>
    </row>
    <row r="42" customFormat="false" ht="15" hidden="false" customHeight="true" outlineLevel="0" collapsed="false">
      <c r="B42" s="10" t="s">
        <v>253</v>
      </c>
      <c r="C42" s="20" t="n">
        <v>3500</v>
      </c>
      <c r="F42" s="10" t="s">
        <v>254</v>
      </c>
    </row>
    <row r="43" customFormat="false" ht="15" hidden="false" customHeight="true" outlineLevel="0" collapsed="false">
      <c r="B43" s="10" t="s">
        <v>72</v>
      </c>
      <c r="C43" s="20" t="n">
        <v>1500</v>
      </c>
      <c r="F43" s="10" t="s">
        <v>255</v>
      </c>
    </row>
    <row r="44" customFormat="false" ht="15" hidden="false" customHeight="true" outlineLevel="0" collapsed="false">
      <c r="B44" s="10" t="s">
        <v>74</v>
      </c>
      <c r="C44" s="20" t="n">
        <v>800</v>
      </c>
      <c r="F44" s="10" t="s">
        <v>256</v>
      </c>
    </row>
    <row r="45" customFormat="false" ht="15" hidden="false" customHeight="true" outlineLevel="0" collapsed="false">
      <c r="B45" s="10" t="s">
        <v>257</v>
      </c>
      <c r="C45" s="20" t="n">
        <v>600</v>
      </c>
      <c r="F45" s="10" t="s">
        <v>258</v>
      </c>
    </row>
    <row r="46" customFormat="false" ht="15" hidden="false" customHeight="true" outlineLevel="0" collapsed="false">
      <c r="B46" s="10" t="s">
        <v>259</v>
      </c>
      <c r="C46" s="20" t="n">
        <v>500</v>
      </c>
      <c r="F46" s="10" t="s">
        <v>260</v>
      </c>
    </row>
    <row r="47" customFormat="false" ht="15" hidden="false" customHeight="true" outlineLevel="0" collapsed="false">
      <c r="B47" s="10" t="s">
        <v>261</v>
      </c>
      <c r="C47" s="20" t="n">
        <v>1500</v>
      </c>
      <c r="F47" s="10" t="s">
        <v>262</v>
      </c>
    </row>
    <row r="48" customFormat="false" ht="15" hidden="false" customHeight="true" outlineLevel="0" collapsed="false">
      <c r="B48" s="10" t="s">
        <v>263</v>
      </c>
      <c r="C48" s="20" t="n">
        <v>800</v>
      </c>
      <c r="F48" s="10" t="s">
        <v>264</v>
      </c>
    </row>
    <row r="49" customFormat="false" ht="15" hidden="false" customHeight="true" outlineLevel="0" collapsed="false">
      <c r="B49" s="10" t="s">
        <v>265</v>
      </c>
      <c r="C49" s="20" t="n">
        <v>3000</v>
      </c>
      <c r="F49" s="10" t="s">
        <v>266</v>
      </c>
    </row>
    <row r="50" customFormat="false" ht="15" hidden="false" customHeight="true" outlineLevel="0" collapsed="false">
      <c r="B50" s="10"/>
      <c r="C50" s="20"/>
      <c r="F50" s="10"/>
    </row>
    <row r="51" customFormat="false" ht="15" hidden="false" customHeight="true" outlineLevel="0" collapsed="false">
      <c r="B51" s="10"/>
      <c r="C51" s="20"/>
      <c r="F51" s="10"/>
    </row>
    <row r="52" customFormat="false" ht="15" hidden="false" customHeight="true" outlineLevel="0" collapsed="false">
      <c r="B52" s="10"/>
      <c r="C52" s="20"/>
      <c r="F52" s="10"/>
    </row>
    <row r="53" customFormat="false" ht="15" hidden="false" customHeight="true" outlineLevel="0" collapsed="false">
      <c r="B53" s="10"/>
      <c r="C53" s="20"/>
      <c r="F53" s="10"/>
    </row>
    <row r="54" customFormat="false" ht="15" hidden="false" customHeight="true" outlineLevel="0" collapsed="false">
      <c r="B54" s="10"/>
      <c r="C54" s="20"/>
      <c r="F54" s="10"/>
    </row>
    <row r="55" customFormat="false" ht="15" hidden="false" customHeight="true" outlineLevel="0" collapsed="false">
      <c r="B55" s="10"/>
      <c r="C55" s="20"/>
      <c r="F55" s="10"/>
    </row>
    <row r="56" customFormat="false" ht="15" hidden="false" customHeight="true" outlineLevel="0" collapsed="false">
      <c r="B56" s="9" t="s">
        <v>267</v>
      </c>
      <c r="C56" s="22" t="n">
        <f aca="false">SUM(C42:C55)</f>
        <v>12200</v>
      </c>
    </row>
    <row r="58" customFormat="false" ht="21.75" hidden="false" customHeight="true" outlineLevel="0" collapsed="false">
      <c r="B58" s="8" t="s">
        <v>268</v>
      </c>
      <c r="C58" s="8"/>
      <c r="D58" s="8"/>
      <c r="E58" s="8"/>
      <c r="F58" s="8"/>
    </row>
    <row r="59" customFormat="false" ht="15" hidden="false" customHeight="true" outlineLevel="0" collapsed="false">
      <c r="B59" s="9" t="s">
        <v>269</v>
      </c>
      <c r="C59" s="27" t="n">
        <f aca="false">E21</f>
        <v>4200</v>
      </c>
    </row>
    <row r="60" customFormat="false" ht="15" hidden="false" customHeight="true" outlineLevel="0" collapsed="false">
      <c r="B60" s="9" t="s">
        <v>270</v>
      </c>
      <c r="C60" s="27" t="n">
        <f aca="false">C38</f>
        <v>3916.66666666667</v>
      </c>
    </row>
    <row r="61" customFormat="false" ht="15" hidden="false" customHeight="true" outlineLevel="0" collapsed="false">
      <c r="B61" s="9" t="s">
        <v>271</v>
      </c>
      <c r="C61" s="27" t="n">
        <f aca="false">C56</f>
        <v>12200</v>
      </c>
    </row>
    <row r="62" customFormat="false" ht="15" hidden="false" customHeight="true" outlineLevel="0" collapsed="false">
      <c r="B62" s="9" t="s">
        <v>272</v>
      </c>
      <c r="C62" s="22" t="n">
        <f aca="false">SUM(C59:C61)</f>
        <v>20316.6666666667</v>
      </c>
    </row>
    <row r="63" customFormat="false" ht="15" hidden="false" customHeight="true" outlineLevel="0" collapsed="false">
      <c r="B63" s="9" t="s">
        <v>273</v>
      </c>
      <c r="C63" s="22" t="n">
        <f aca="false">C62*12</f>
        <v>243800</v>
      </c>
    </row>
  </sheetData>
  <mergeCells count="6">
    <mergeCell ref="B2:F2"/>
    <mergeCell ref="B3:F3"/>
    <mergeCell ref="B5:F5"/>
    <mergeCell ref="B23:F23"/>
    <mergeCell ref="B40:F40"/>
    <mergeCell ref="B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5" min="3" style="1" width="16"/>
    <col collapsed="false" customWidth="true" hidden="false" outlineLevel="0" max="6" min="6" style="1" width="35"/>
  </cols>
  <sheetData>
    <row r="2" customFormat="false" ht="30" hidden="false" customHeight="true" outlineLevel="0" collapsed="false">
      <c r="B2" s="6" t="s">
        <v>274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216</v>
      </c>
      <c r="C3" s="7"/>
      <c r="D3" s="7"/>
      <c r="E3" s="7"/>
      <c r="F3" s="7"/>
    </row>
    <row r="5" customFormat="false" ht="21.75" hidden="false" customHeight="true" outlineLevel="0" collapsed="false">
      <c r="B5" s="8" t="s">
        <v>217</v>
      </c>
      <c r="C5" s="8"/>
      <c r="D5" s="8"/>
      <c r="E5" s="8"/>
      <c r="F5" s="8"/>
    </row>
    <row r="6" customFormat="false" ht="21.75" hidden="false" customHeight="true" outlineLevel="0" collapsed="false">
      <c r="B6" s="14" t="s">
        <v>218</v>
      </c>
      <c r="C6" s="14" t="s">
        <v>219</v>
      </c>
      <c r="F6" s="14" t="s">
        <v>137</v>
      </c>
    </row>
    <row r="7" customFormat="false" ht="15" hidden="false" customHeight="true" outlineLevel="0" collapsed="false">
      <c r="B7" s="10" t="s">
        <v>275</v>
      </c>
      <c r="C7" s="20" t="n">
        <v>30</v>
      </c>
      <c r="F7" s="10" t="s">
        <v>276</v>
      </c>
    </row>
    <row r="8" customFormat="false" ht="15" hidden="false" customHeight="true" outlineLevel="0" collapsed="false">
      <c r="B8" s="10" t="s">
        <v>277</v>
      </c>
      <c r="C8" s="20" t="n">
        <v>20</v>
      </c>
      <c r="F8" s="10" t="s">
        <v>278</v>
      </c>
    </row>
    <row r="9" customFormat="false" ht="15" hidden="false" customHeight="true" outlineLevel="0" collapsed="false">
      <c r="B9" s="10" t="s">
        <v>279</v>
      </c>
      <c r="C9" s="20" t="n">
        <v>0</v>
      </c>
      <c r="F9" s="10" t="s">
        <v>225</v>
      </c>
    </row>
    <row r="10" customFormat="false" ht="15" hidden="false" customHeight="true" outlineLevel="0" collapsed="false">
      <c r="B10" s="10" t="s">
        <v>226</v>
      </c>
      <c r="C10" s="20" t="n">
        <v>25</v>
      </c>
      <c r="F10" s="10" t="s">
        <v>280</v>
      </c>
    </row>
    <row r="11" customFormat="false" ht="15" hidden="false" customHeight="true" outlineLevel="0" collapsed="false">
      <c r="B11" s="10" t="s">
        <v>281</v>
      </c>
      <c r="C11" s="20" t="n">
        <v>30</v>
      </c>
      <c r="F11" s="10" t="s">
        <v>282</v>
      </c>
    </row>
    <row r="12" customFormat="false" ht="15" hidden="false" customHeight="true" outlineLevel="0" collapsed="false">
      <c r="B12" s="10" t="s">
        <v>283</v>
      </c>
      <c r="C12" s="20" t="n">
        <v>60</v>
      </c>
      <c r="F12" s="10" t="s">
        <v>284</v>
      </c>
    </row>
    <row r="13" customFormat="false" ht="15" hidden="false" customHeight="true" outlineLevel="0" collapsed="false">
      <c r="B13" s="10"/>
      <c r="C13" s="20"/>
      <c r="F13" s="10"/>
    </row>
    <row r="14" customFormat="false" ht="15" hidden="false" customHeight="true" outlineLevel="0" collapsed="false">
      <c r="B14" s="10"/>
      <c r="C14" s="20"/>
      <c r="F14" s="10"/>
    </row>
    <row r="15" customFormat="false" ht="15" hidden="false" customHeight="true" outlineLevel="0" collapsed="false">
      <c r="B15" s="10"/>
      <c r="C15" s="20"/>
      <c r="F15" s="10"/>
    </row>
    <row r="16" customFormat="false" ht="15" hidden="false" customHeight="true" outlineLevel="0" collapsed="false">
      <c r="B16" s="10"/>
      <c r="C16" s="20"/>
      <c r="F16" s="10"/>
    </row>
    <row r="17" customFormat="false" ht="15" hidden="false" customHeight="true" outlineLevel="0" collapsed="false">
      <c r="B17" s="10"/>
      <c r="C17" s="20"/>
      <c r="F17" s="10"/>
    </row>
    <row r="18" customFormat="false" ht="15" hidden="false" customHeight="true" outlineLevel="0" collapsed="false">
      <c r="B18" s="10"/>
      <c r="C18" s="20"/>
      <c r="F18" s="10"/>
    </row>
    <row r="19" customFormat="false" ht="15" hidden="false" customHeight="true" outlineLevel="0" collapsed="false">
      <c r="B19" s="10"/>
      <c r="C19" s="20"/>
      <c r="F19" s="10"/>
    </row>
    <row r="20" customFormat="false" ht="15" hidden="false" customHeight="true" outlineLevel="0" collapsed="false">
      <c r="B20" s="10"/>
      <c r="C20" s="20"/>
      <c r="F20" s="10"/>
    </row>
    <row r="21" customFormat="false" ht="15" hidden="false" customHeight="true" outlineLevel="0" collapsed="false">
      <c r="B21" s="9" t="s">
        <v>232</v>
      </c>
      <c r="C21" s="22" t="n">
        <f aca="false">SUM(C7:C20)</f>
        <v>165</v>
      </c>
      <c r="D21" s="9" t="s">
        <v>233</v>
      </c>
      <c r="E21" s="22" t="n">
        <f aca="false">C21*30</f>
        <v>4950</v>
      </c>
    </row>
    <row r="23" customFormat="false" ht="21.75" hidden="false" customHeight="true" outlineLevel="0" collapsed="false">
      <c r="B23" s="8" t="s">
        <v>234</v>
      </c>
      <c r="C23" s="8"/>
      <c r="D23" s="8"/>
      <c r="E23" s="8"/>
      <c r="F23" s="8"/>
    </row>
    <row r="24" customFormat="false" ht="21.75" hidden="false" customHeight="true" outlineLevel="0" collapsed="false">
      <c r="B24" s="14" t="s">
        <v>235</v>
      </c>
      <c r="C24" s="14" t="s">
        <v>236</v>
      </c>
      <c r="D24" s="14" t="s">
        <v>237</v>
      </c>
      <c r="E24" s="14" t="s">
        <v>238</v>
      </c>
      <c r="F24" s="14" t="s">
        <v>137</v>
      </c>
    </row>
    <row r="25" customFormat="false" ht="15" hidden="false" customHeight="true" outlineLevel="0" collapsed="false">
      <c r="B25" s="10" t="s">
        <v>285</v>
      </c>
      <c r="C25" s="20" t="n">
        <v>8000</v>
      </c>
      <c r="D25" s="23" t="n">
        <v>2</v>
      </c>
      <c r="E25" s="24" t="n">
        <f aca="false">C25*D25</f>
        <v>16000</v>
      </c>
      <c r="F25" s="10" t="s">
        <v>286</v>
      </c>
    </row>
    <row r="26" customFormat="false" ht="15" hidden="false" customHeight="true" outlineLevel="0" collapsed="false">
      <c r="B26" s="10" t="s">
        <v>287</v>
      </c>
      <c r="C26" s="20" t="n">
        <v>3000</v>
      </c>
      <c r="D26" s="23" t="n">
        <v>3</v>
      </c>
      <c r="E26" s="24" t="n">
        <f aca="false">C26*D26</f>
        <v>9000</v>
      </c>
      <c r="F26" s="10" t="s">
        <v>288</v>
      </c>
    </row>
    <row r="27" customFormat="false" ht="15" hidden="false" customHeight="true" outlineLevel="0" collapsed="false">
      <c r="B27" s="10" t="s">
        <v>289</v>
      </c>
      <c r="C27" s="20" t="n">
        <v>2500</v>
      </c>
      <c r="D27" s="23" t="n">
        <v>3</v>
      </c>
      <c r="E27" s="24" t="n">
        <f aca="false">C27*D27</f>
        <v>7500</v>
      </c>
      <c r="F27" s="10" t="s">
        <v>290</v>
      </c>
    </row>
    <row r="28" customFormat="false" ht="15" hidden="false" customHeight="true" outlineLevel="0" collapsed="false">
      <c r="B28" s="10" t="s">
        <v>245</v>
      </c>
      <c r="C28" s="20" t="n">
        <v>8000</v>
      </c>
      <c r="D28" s="23" t="n">
        <v>1</v>
      </c>
      <c r="E28" s="24" t="n">
        <f aca="false">C28*D28</f>
        <v>8000</v>
      </c>
      <c r="F28" s="10" t="s">
        <v>246</v>
      </c>
    </row>
    <row r="29" customFormat="false" ht="15" hidden="false" customHeight="true" outlineLevel="0" collapsed="false">
      <c r="B29" s="10" t="s">
        <v>291</v>
      </c>
      <c r="C29" s="20" t="n">
        <v>1500</v>
      </c>
      <c r="D29" s="23" t="n">
        <v>4</v>
      </c>
      <c r="E29" s="24" t="n">
        <f aca="false">C29*D29</f>
        <v>6000</v>
      </c>
      <c r="F29" s="10" t="s">
        <v>292</v>
      </c>
    </row>
    <row r="30" customFormat="false" ht="15" hidden="false" customHeight="true" outlineLevel="0" collapsed="false">
      <c r="B30" s="10"/>
      <c r="C30" s="20"/>
      <c r="D30" s="25"/>
      <c r="E30" s="24" t="str">
        <f aca="false">IF(OR(C30="",D30=""),"",C30*D30)</f>
        <v/>
      </c>
      <c r="F30" s="10"/>
    </row>
    <row r="31" customFormat="false" ht="15" hidden="false" customHeight="true" outlineLevel="0" collapsed="false">
      <c r="B31" s="10"/>
      <c r="C31" s="20"/>
      <c r="D31" s="25"/>
      <c r="E31" s="24" t="str">
        <f aca="false">IF(OR(C31="",D31=""),"",C31*D31)</f>
        <v/>
      </c>
      <c r="F31" s="10"/>
    </row>
    <row r="32" customFormat="false" ht="15" hidden="false" customHeight="true" outlineLevel="0" collapsed="false">
      <c r="B32" s="10"/>
      <c r="C32" s="20"/>
      <c r="D32" s="25"/>
      <c r="E32" s="24" t="str">
        <f aca="false">IF(OR(C32="",D32=""),"",C32*D32)</f>
        <v/>
      </c>
      <c r="F32" s="10"/>
    </row>
    <row r="33" customFormat="false" ht="15" hidden="false" customHeight="true" outlineLevel="0" collapsed="false">
      <c r="B33" s="10"/>
      <c r="C33" s="20"/>
      <c r="D33" s="25"/>
      <c r="E33" s="24" t="str">
        <f aca="false">IF(OR(C33="",D33=""),"",C33*D33)</f>
        <v/>
      </c>
      <c r="F33" s="10"/>
    </row>
    <row r="34" customFormat="false" ht="15" hidden="false" customHeight="true" outlineLevel="0" collapsed="false">
      <c r="B34" s="10"/>
      <c r="C34" s="20"/>
      <c r="D34" s="25"/>
      <c r="E34" s="24" t="str">
        <f aca="false">IF(OR(C34="",D34=""),"",C34*D34)</f>
        <v/>
      </c>
      <c r="F34" s="10"/>
    </row>
    <row r="35" customFormat="false" ht="15" hidden="false" customHeight="true" outlineLevel="0" collapsed="false">
      <c r="B35" s="10"/>
      <c r="C35" s="20"/>
      <c r="D35" s="25"/>
      <c r="E35" s="24" t="str">
        <f aca="false">IF(OR(C35="",D35=""),"",C35*D35)</f>
        <v/>
      </c>
      <c r="F35" s="10"/>
    </row>
    <row r="36" customFormat="false" ht="15" hidden="false" customHeight="true" outlineLevel="0" collapsed="false">
      <c r="B36" s="10"/>
      <c r="C36" s="20"/>
      <c r="D36" s="25"/>
      <c r="E36" s="24" t="str">
        <f aca="false">IF(OR(C36="",D36=""),"",C36*D36)</f>
        <v/>
      </c>
      <c r="F36" s="10"/>
    </row>
    <row r="37" customFormat="false" ht="15" hidden="false" customHeight="true" outlineLevel="0" collapsed="false">
      <c r="B37" s="10"/>
      <c r="C37" s="20"/>
      <c r="D37" s="25"/>
      <c r="E37" s="24" t="str">
        <f aca="false">IF(OR(C37="",D37=""),"",C37*D37)</f>
        <v/>
      </c>
      <c r="F37" s="10"/>
    </row>
    <row r="38" customFormat="false" ht="15" hidden="false" customHeight="true" outlineLevel="0" collapsed="false">
      <c r="B38" s="9" t="s">
        <v>249</v>
      </c>
      <c r="C38" s="22" t="n">
        <f aca="false">E38/12</f>
        <v>3875</v>
      </c>
      <c r="D38" s="26" t="s">
        <v>250</v>
      </c>
      <c r="E38" s="22" t="n">
        <f aca="false">SUM(E25:E37)</f>
        <v>46500</v>
      </c>
    </row>
    <row r="40" customFormat="false" ht="21.75" hidden="false" customHeight="true" outlineLevel="0" collapsed="false">
      <c r="B40" s="8" t="s">
        <v>251</v>
      </c>
      <c r="C40" s="8"/>
      <c r="D40" s="8"/>
      <c r="E40" s="8"/>
      <c r="F40" s="8"/>
    </row>
    <row r="41" customFormat="false" ht="21.75" hidden="false" customHeight="true" outlineLevel="0" collapsed="false">
      <c r="B41" s="14" t="s">
        <v>135</v>
      </c>
      <c r="C41" s="14" t="s">
        <v>252</v>
      </c>
      <c r="F41" s="14" t="s">
        <v>137</v>
      </c>
    </row>
    <row r="42" customFormat="false" ht="15" hidden="false" customHeight="true" outlineLevel="0" collapsed="false">
      <c r="B42" s="10" t="s">
        <v>293</v>
      </c>
      <c r="C42" s="20" t="n">
        <v>0</v>
      </c>
      <c r="F42" s="10" t="s">
        <v>294</v>
      </c>
    </row>
    <row r="43" customFormat="false" ht="15" hidden="false" customHeight="true" outlineLevel="0" collapsed="false">
      <c r="B43" s="10" t="s">
        <v>295</v>
      </c>
      <c r="C43" s="20" t="n">
        <v>600</v>
      </c>
      <c r="F43" s="10" t="s">
        <v>296</v>
      </c>
    </row>
    <row r="44" customFormat="false" ht="15" hidden="false" customHeight="true" outlineLevel="0" collapsed="false">
      <c r="B44" s="10" t="s">
        <v>297</v>
      </c>
      <c r="C44" s="20" t="n">
        <v>800</v>
      </c>
      <c r="F44" s="10" t="s">
        <v>298</v>
      </c>
    </row>
    <row r="45" customFormat="false" ht="15" hidden="false" customHeight="true" outlineLevel="0" collapsed="false">
      <c r="B45" s="10" t="s">
        <v>299</v>
      </c>
      <c r="C45" s="20" t="n">
        <v>400</v>
      </c>
      <c r="F45" s="10" t="s">
        <v>300</v>
      </c>
    </row>
    <row r="46" customFormat="false" ht="15" hidden="false" customHeight="true" outlineLevel="0" collapsed="false">
      <c r="B46" s="10" t="s">
        <v>301</v>
      </c>
      <c r="C46" s="20" t="n">
        <v>400</v>
      </c>
      <c r="F46" s="10" t="s">
        <v>302</v>
      </c>
    </row>
    <row r="47" customFormat="false" ht="15" hidden="false" customHeight="true" outlineLevel="0" collapsed="false">
      <c r="B47" s="10" t="s">
        <v>90</v>
      </c>
      <c r="C47" s="20" t="n">
        <v>500</v>
      </c>
      <c r="F47" s="10" t="s">
        <v>303</v>
      </c>
    </row>
    <row r="48" customFormat="false" ht="15" hidden="false" customHeight="true" outlineLevel="0" collapsed="false">
      <c r="B48" s="10" t="s">
        <v>304</v>
      </c>
      <c r="C48" s="20" t="n">
        <v>600</v>
      </c>
      <c r="F48" s="10" t="s">
        <v>305</v>
      </c>
    </row>
    <row r="49" customFormat="false" ht="15" hidden="false" customHeight="true" outlineLevel="0" collapsed="false">
      <c r="B49" s="10" t="s">
        <v>306</v>
      </c>
      <c r="C49" s="20" t="n">
        <v>1500</v>
      </c>
      <c r="F49" s="10" t="s">
        <v>307</v>
      </c>
    </row>
    <row r="50" customFormat="false" ht="15" hidden="false" customHeight="true" outlineLevel="0" collapsed="false">
      <c r="B50" s="10"/>
      <c r="C50" s="20"/>
      <c r="F50" s="10"/>
    </row>
    <row r="51" customFormat="false" ht="15" hidden="false" customHeight="true" outlineLevel="0" collapsed="false">
      <c r="B51" s="10"/>
      <c r="C51" s="20"/>
      <c r="F51" s="10"/>
    </row>
    <row r="52" customFormat="false" ht="15" hidden="false" customHeight="true" outlineLevel="0" collapsed="false">
      <c r="B52" s="10"/>
      <c r="C52" s="20"/>
      <c r="F52" s="10"/>
    </row>
    <row r="53" customFormat="false" ht="15" hidden="false" customHeight="true" outlineLevel="0" collapsed="false">
      <c r="B53" s="10"/>
      <c r="C53" s="20"/>
      <c r="F53" s="10"/>
    </row>
    <row r="54" customFormat="false" ht="15" hidden="false" customHeight="true" outlineLevel="0" collapsed="false">
      <c r="B54" s="10"/>
      <c r="C54" s="20"/>
      <c r="F54" s="10"/>
    </row>
    <row r="55" customFormat="false" ht="15" hidden="false" customHeight="true" outlineLevel="0" collapsed="false">
      <c r="B55" s="10"/>
      <c r="C55" s="20"/>
      <c r="F55" s="10"/>
    </row>
    <row r="56" customFormat="false" ht="15" hidden="false" customHeight="true" outlineLevel="0" collapsed="false">
      <c r="B56" s="9" t="s">
        <v>267</v>
      </c>
      <c r="C56" s="22" t="n">
        <f aca="false">SUM(C42:C55)</f>
        <v>4800</v>
      </c>
    </row>
    <row r="58" customFormat="false" ht="21.75" hidden="false" customHeight="true" outlineLevel="0" collapsed="false">
      <c r="B58" s="8" t="s">
        <v>268</v>
      </c>
      <c r="C58" s="8"/>
      <c r="D58" s="8"/>
      <c r="E58" s="8"/>
      <c r="F58" s="8"/>
    </row>
    <row r="59" customFormat="false" ht="15" hidden="false" customHeight="true" outlineLevel="0" collapsed="false">
      <c r="B59" s="9" t="s">
        <v>269</v>
      </c>
      <c r="C59" s="27" t="n">
        <f aca="false">E21</f>
        <v>4950</v>
      </c>
    </row>
    <row r="60" customFormat="false" ht="15" hidden="false" customHeight="true" outlineLevel="0" collapsed="false">
      <c r="B60" s="9" t="s">
        <v>270</v>
      </c>
      <c r="C60" s="27" t="n">
        <f aca="false">C38</f>
        <v>3875</v>
      </c>
    </row>
    <row r="61" customFormat="false" ht="15" hidden="false" customHeight="true" outlineLevel="0" collapsed="false">
      <c r="B61" s="9" t="s">
        <v>271</v>
      </c>
      <c r="C61" s="27" t="n">
        <f aca="false">C56</f>
        <v>4800</v>
      </c>
    </row>
    <row r="62" customFormat="false" ht="15" hidden="false" customHeight="true" outlineLevel="0" collapsed="false">
      <c r="B62" s="9" t="s">
        <v>272</v>
      </c>
      <c r="C62" s="22" t="n">
        <f aca="false">SUM(C59:C61)</f>
        <v>13625</v>
      </c>
    </row>
    <row r="63" customFormat="false" ht="15" hidden="false" customHeight="true" outlineLevel="0" collapsed="false">
      <c r="B63" s="9" t="s">
        <v>273</v>
      </c>
      <c r="C63" s="22" t="n">
        <f aca="false">C62*12</f>
        <v>163500</v>
      </c>
    </row>
  </sheetData>
  <mergeCells count="6">
    <mergeCell ref="B2:F2"/>
    <mergeCell ref="B3:F3"/>
    <mergeCell ref="B5:F5"/>
    <mergeCell ref="B23:F23"/>
    <mergeCell ref="B40:F40"/>
    <mergeCell ref="B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5" min="3" style="1" width="16"/>
    <col collapsed="false" customWidth="true" hidden="false" outlineLevel="0" max="6" min="6" style="1" width="35"/>
  </cols>
  <sheetData>
    <row r="2" customFormat="false" ht="30" hidden="false" customHeight="true" outlineLevel="0" collapsed="false">
      <c r="B2" s="6" t="s">
        <v>308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216</v>
      </c>
      <c r="C3" s="7"/>
      <c r="D3" s="7"/>
      <c r="E3" s="7"/>
      <c r="F3" s="7"/>
    </row>
    <row r="5" customFormat="false" ht="21.75" hidden="false" customHeight="true" outlineLevel="0" collapsed="false">
      <c r="B5" s="8" t="s">
        <v>217</v>
      </c>
      <c r="C5" s="8"/>
      <c r="D5" s="8"/>
      <c r="E5" s="8"/>
      <c r="F5" s="8"/>
    </row>
    <row r="6" customFormat="false" ht="21.75" hidden="false" customHeight="true" outlineLevel="0" collapsed="false">
      <c r="B6" s="14" t="s">
        <v>218</v>
      </c>
      <c r="C6" s="14" t="s">
        <v>219</v>
      </c>
      <c r="F6" s="14" t="s">
        <v>137</v>
      </c>
    </row>
    <row r="7" customFormat="false" ht="15" hidden="false" customHeight="true" outlineLevel="0" collapsed="false">
      <c r="B7" s="10" t="s">
        <v>309</v>
      </c>
      <c r="C7" s="20" t="n">
        <v>15</v>
      </c>
      <c r="F7" s="10" t="s">
        <v>310</v>
      </c>
    </row>
    <row r="8" customFormat="false" ht="15" hidden="false" customHeight="true" outlineLevel="0" collapsed="false">
      <c r="B8" s="10" t="s">
        <v>311</v>
      </c>
      <c r="C8" s="20" t="n">
        <v>50</v>
      </c>
      <c r="F8" s="10" t="s">
        <v>312</v>
      </c>
    </row>
    <row r="9" customFormat="false" ht="15" hidden="false" customHeight="true" outlineLevel="0" collapsed="false">
      <c r="B9" s="10" t="s">
        <v>313</v>
      </c>
      <c r="C9" s="20" t="n">
        <v>30</v>
      </c>
      <c r="F9" s="10" t="s">
        <v>314</v>
      </c>
    </row>
    <row r="10" customFormat="false" ht="15" hidden="false" customHeight="true" outlineLevel="0" collapsed="false">
      <c r="B10" s="10" t="s">
        <v>315</v>
      </c>
      <c r="C10" s="20" t="n">
        <v>35</v>
      </c>
      <c r="F10" s="10" t="s">
        <v>316</v>
      </c>
    </row>
    <row r="11" customFormat="false" ht="15" hidden="false" customHeight="true" outlineLevel="0" collapsed="false">
      <c r="B11" s="10"/>
      <c r="C11" s="20"/>
      <c r="F11" s="10"/>
    </row>
    <row r="12" customFormat="false" ht="15" hidden="false" customHeight="true" outlineLevel="0" collapsed="false">
      <c r="B12" s="10"/>
      <c r="C12" s="20"/>
      <c r="F12" s="10"/>
    </row>
    <row r="13" customFormat="false" ht="15" hidden="false" customHeight="true" outlineLevel="0" collapsed="false">
      <c r="B13" s="10"/>
      <c r="C13" s="20"/>
      <c r="F13" s="10"/>
    </row>
    <row r="14" customFormat="false" ht="15" hidden="false" customHeight="true" outlineLevel="0" collapsed="false">
      <c r="B14" s="10"/>
      <c r="C14" s="20"/>
      <c r="F14" s="10"/>
    </row>
    <row r="15" customFormat="false" ht="15" hidden="false" customHeight="true" outlineLevel="0" collapsed="false">
      <c r="B15" s="10"/>
      <c r="C15" s="20"/>
      <c r="F15" s="10"/>
    </row>
    <row r="16" customFormat="false" ht="15" hidden="false" customHeight="true" outlineLevel="0" collapsed="false">
      <c r="B16" s="10"/>
      <c r="C16" s="20"/>
      <c r="F16" s="10"/>
    </row>
    <row r="17" customFormat="false" ht="15" hidden="false" customHeight="true" outlineLevel="0" collapsed="false">
      <c r="B17" s="10"/>
      <c r="C17" s="20"/>
      <c r="F17" s="10"/>
    </row>
    <row r="18" customFormat="false" ht="15" hidden="false" customHeight="true" outlineLevel="0" collapsed="false">
      <c r="B18" s="10"/>
      <c r="C18" s="20"/>
      <c r="F18" s="10"/>
    </row>
    <row r="19" customFormat="false" ht="15" hidden="false" customHeight="true" outlineLevel="0" collapsed="false">
      <c r="B19" s="9" t="s">
        <v>232</v>
      </c>
      <c r="C19" s="22" t="n">
        <f aca="false">SUM(C7:C18)</f>
        <v>130</v>
      </c>
      <c r="D19" s="9" t="s">
        <v>233</v>
      </c>
      <c r="E19" s="22" t="n">
        <f aca="false">C19*30</f>
        <v>3900</v>
      </c>
    </row>
    <row r="21" customFormat="false" ht="21.75" hidden="false" customHeight="true" outlineLevel="0" collapsed="false">
      <c r="B21" s="8" t="s">
        <v>234</v>
      </c>
      <c r="C21" s="8"/>
      <c r="D21" s="8"/>
      <c r="E21" s="8"/>
      <c r="F21" s="8"/>
    </row>
    <row r="22" customFormat="false" ht="21.75" hidden="false" customHeight="true" outlineLevel="0" collapsed="false">
      <c r="B22" s="14" t="s">
        <v>235</v>
      </c>
      <c r="C22" s="14" t="s">
        <v>236</v>
      </c>
      <c r="D22" s="14" t="s">
        <v>237</v>
      </c>
      <c r="E22" s="14" t="s">
        <v>238</v>
      </c>
      <c r="F22" s="14" t="s">
        <v>137</v>
      </c>
    </row>
    <row r="23" customFormat="false" ht="15" hidden="false" customHeight="true" outlineLevel="0" collapsed="false">
      <c r="B23" s="10" t="s">
        <v>317</v>
      </c>
      <c r="C23" s="20" t="n">
        <v>12000</v>
      </c>
      <c r="D23" s="23" t="n">
        <v>1</v>
      </c>
      <c r="E23" s="24" t="n">
        <f aca="false">C23*D23</f>
        <v>12000</v>
      </c>
      <c r="F23" s="10" t="s">
        <v>318</v>
      </c>
    </row>
    <row r="24" customFormat="false" ht="15" hidden="false" customHeight="true" outlineLevel="0" collapsed="false">
      <c r="B24" s="10" t="s">
        <v>319</v>
      </c>
      <c r="C24" s="20" t="n">
        <v>6000</v>
      </c>
      <c r="D24" s="23" t="n">
        <v>2</v>
      </c>
      <c r="E24" s="24" t="n">
        <f aca="false">C24*D24</f>
        <v>12000</v>
      </c>
      <c r="F24" s="10" t="s">
        <v>320</v>
      </c>
    </row>
    <row r="25" customFormat="false" ht="15" hidden="false" customHeight="true" outlineLevel="0" collapsed="false">
      <c r="B25" s="10" t="s">
        <v>321</v>
      </c>
      <c r="C25" s="20" t="n">
        <v>4000</v>
      </c>
      <c r="D25" s="23" t="n">
        <v>1</v>
      </c>
      <c r="E25" s="24" t="n">
        <f aca="false">C25*D25</f>
        <v>4000</v>
      </c>
      <c r="F25" s="10" t="s">
        <v>322</v>
      </c>
    </row>
    <row r="26" customFormat="false" ht="15" hidden="false" customHeight="true" outlineLevel="0" collapsed="false">
      <c r="B26" s="10" t="s">
        <v>323</v>
      </c>
      <c r="C26" s="20" t="n">
        <v>3500</v>
      </c>
      <c r="D26" s="23" t="n">
        <v>1</v>
      </c>
      <c r="E26" s="24" t="n">
        <f aca="false">C26*D26</f>
        <v>3500</v>
      </c>
      <c r="F26" s="10" t="s">
        <v>324</v>
      </c>
    </row>
    <row r="27" customFormat="false" ht="15" hidden="false" customHeight="true" outlineLevel="0" collapsed="false">
      <c r="B27" s="10"/>
      <c r="C27" s="20"/>
      <c r="D27" s="25"/>
      <c r="E27" s="24" t="str">
        <f aca="false">IF(OR(C27="",D27=""),"",C27*D27)</f>
        <v/>
      </c>
      <c r="F27" s="10"/>
    </row>
    <row r="28" customFormat="false" ht="15" hidden="false" customHeight="true" outlineLevel="0" collapsed="false">
      <c r="B28" s="10"/>
      <c r="C28" s="20"/>
      <c r="D28" s="25"/>
      <c r="E28" s="24" t="str">
        <f aca="false">IF(OR(C28="",D28=""),"",C28*D28)</f>
        <v/>
      </c>
      <c r="F28" s="10"/>
    </row>
    <row r="29" customFormat="false" ht="15" hidden="false" customHeight="true" outlineLevel="0" collapsed="false">
      <c r="B29" s="10"/>
      <c r="C29" s="20"/>
      <c r="D29" s="25"/>
      <c r="E29" s="24" t="str">
        <f aca="false">IF(OR(C29="",D29=""),"",C29*D29)</f>
        <v/>
      </c>
      <c r="F29" s="10"/>
    </row>
    <row r="30" customFormat="false" ht="15" hidden="false" customHeight="true" outlineLevel="0" collapsed="false">
      <c r="B30" s="10"/>
      <c r="C30" s="20"/>
      <c r="D30" s="25"/>
      <c r="E30" s="24" t="str">
        <f aca="false">IF(OR(C30="",D30=""),"",C30*D30)</f>
        <v/>
      </c>
      <c r="F30" s="10"/>
    </row>
    <row r="31" customFormat="false" ht="15" hidden="false" customHeight="true" outlineLevel="0" collapsed="false">
      <c r="B31" s="10"/>
      <c r="C31" s="20"/>
      <c r="D31" s="25"/>
      <c r="E31" s="24" t="str">
        <f aca="false">IF(OR(C31="",D31=""),"",C31*D31)</f>
        <v/>
      </c>
      <c r="F31" s="10"/>
    </row>
    <row r="32" customFormat="false" ht="15" hidden="false" customHeight="true" outlineLevel="0" collapsed="false">
      <c r="B32" s="10"/>
      <c r="C32" s="20"/>
      <c r="D32" s="25"/>
      <c r="E32" s="24" t="str">
        <f aca="false">IF(OR(C32="",D32=""),"",C32*D32)</f>
        <v/>
      </c>
      <c r="F32" s="10"/>
    </row>
    <row r="33" customFormat="false" ht="15" hidden="false" customHeight="true" outlineLevel="0" collapsed="false">
      <c r="B33" s="10"/>
      <c r="C33" s="20"/>
      <c r="D33" s="25"/>
      <c r="E33" s="24" t="str">
        <f aca="false">IF(OR(C33="",D33=""),"",C33*D33)</f>
        <v/>
      </c>
      <c r="F33" s="10"/>
    </row>
    <row r="34" customFormat="false" ht="15" hidden="false" customHeight="true" outlineLevel="0" collapsed="false">
      <c r="B34" s="10"/>
      <c r="C34" s="20"/>
      <c r="D34" s="25"/>
      <c r="E34" s="24" t="str">
        <f aca="false">IF(OR(C34="",D34=""),"",C34*D34)</f>
        <v/>
      </c>
      <c r="F34" s="10"/>
    </row>
    <row r="35" customFormat="false" ht="15" hidden="false" customHeight="true" outlineLevel="0" collapsed="false">
      <c r="B35" s="9" t="s">
        <v>249</v>
      </c>
      <c r="C35" s="22" t="n">
        <f aca="false">E35/12</f>
        <v>2625</v>
      </c>
      <c r="D35" s="26" t="s">
        <v>250</v>
      </c>
      <c r="E35" s="22" t="n">
        <f aca="false">SUM(E23:E34)</f>
        <v>31500</v>
      </c>
    </row>
    <row r="37" customFormat="false" ht="21.75" hidden="false" customHeight="true" outlineLevel="0" collapsed="false">
      <c r="B37" s="8" t="s">
        <v>251</v>
      </c>
      <c r="C37" s="8"/>
      <c r="D37" s="8"/>
      <c r="E37" s="8"/>
      <c r="F37" s="8"/>
    </row>
    <row r="38" customFormat="false" ht="21.75" hidden="false" customHeight="true" outlineLevel="0" collapsed="false">
      <c r="B38" s="14" t="s">
        <v>135</v>
      </c>
      <c r="C38" s="14" t="s">
        <v>252</v>
      </c>
      <c r="F38" s="14" t="s">
        <v>137</v>
      </c>
    </row>
    <row r="39" customFormat="false" ht="15" hidden="false" customHeight="true" outlineLevel="0" collapsed="false">
      <c r="B39" s="10" t="s">
        <v>325</v>
      </c>
      <c r="C39" s="20" t="n">
        <v>3500</v>
      </c>
      <c r="F39" s="10" t="s">
        <v>326</v>
      </c>
    </row>
    <row r="40" customFormat="false" ht="15" hidden="false" customHeight="true" outlineLevel="0" collapsed="false">
      <c r="B40" s="10" t="s">
        <v>327</v>
      </c>
      <c r="C40" s="20" t="n">
        <v>1200</v>
      </c>
      <c r="F40" s="10" t="s">
        <v>328</v>
      </c>
    </row>
    <row r="41" customFormat="false" ht="15" hidden="false" customHeight="true" outlineLevel="0" collapsed="false">
      <c r="B41" s="10" t="s">
        <v>329</v>
      </c>
      <c r="C41" s="20" t="n">
        <v>800</v>
      </c>
      <c r="F41" s="10" t="s">
        <v>330</v>
      </c>
    </row>
    <row r="42" customFormat="false" ht="15" hidden="false" customHeight="true" outlineLevel="0" collapsed="false">
      <c r="B42" s="10" t="s">
        <v>331</v>
      </c>
      <c r="C42" s="20" t="n">
        <v>800</v>
      </c>
      <c r="F42" s="10" t="s">
        <v>332</v>
      </c>
    </row>
    <row r="43" customFormat="false" ht="15" hidden="false" customHeight="true" outlineLevel="0" collapsed="false">
      <c r="B43" s="10" t="s">
        <v>333</v>
      </c>
      <c r="C43" s="20" t="n">
        <v>0</v>
      </c>
      <c r="F43" s="10" t="s">
        <v>334</v>
      </c>
    </row>
    <row r="44" customFormat="false" ht="15" hidden="false" customHeight="true" outlineLevel="0" collapsed="false">
      <c r="B44" s="10" t="s">
        <v>335</v>
      </c>
      <c r="C44" s="20" t="n">
        <v>1000</v>
      </c>
      <c r="F44" s="10" t="s">
        <v>336</v>
      </c>
    </row>
    <row r="45" customFormat="false" ht="15" hidden="false" customHeight="true" outlineLevel="0" collapsed="false">
      <c r="B45" s="10" t="s">
        <v>337</v>
      </c>
      <c r="C45" s="20" t="n">
        <v>2500</v>
      </c>
      <c r="F45" s="10" t="s">
        <v>338</v>
      </c>
    </row>
    <row r="46" customFormat="false" ht="15" hidden="false" customHeight="true" outlineLevel="0" collapsed="false">
      <c r="B46" s="10"/>
      <c r="C46" s="20"/>
      <c r="F46" s="10"/>
    </row>
    <row r="47" customFormat="false" ht="15" hidden="false" customHeight="true" outlineLevel="0" collapsed="false">
      <c r="B47" s="10"/>
      <c r="C47" s="20"/>
      <c r="F47" s="10"/>
    </row>
    <row r="48" customFormat="false" ht="15" hidden="false" customHeight="true" outlineLevel="0" collapsed="false">
      <c r="B48" s="10"/>
      <c r="C48" s="20"/>
      <c r="F48" s="10"/>
    </row>
    <row r="49" customFormat="false" ht="15" hidden="false" customHeight="true" outlineLevel="0" collapsed="false">
      <c r="B49" s="10"/>
      <c r="C49" s="20"/>
      <c r="F49" s="10"/>
    </row>
    <row r="50" customFormat="false" ht="15" hidden="false" customHeight="true" outlineLevel="0" collapsed="false">
      <c r="B50" s="10"/>
      <c r="C50" s="20"/>
      <c r="F50" s="10"/>
    </row>
    <row r="51" customFormat="false" ht="15" hidden="false" customHeight="true" outlineLevel="0" collapsed="false">
      <c r="B51" s="10"/>
      <c r="C51" s="20"/>
      <c r="F51" s="10"/>
    </row>
    <row r="52" customFormat="false" ht="15" hidden="false" customHeight="true" outlineLevel="0" collapsed="false">
      <c r="B52" s="9" t="s">
        <v>267</v>
      </c>
      <c r="C52" s="22" t="n">
        <f aca="false">SUM(C39:C51)</f>
        <v>9800</v>
      </c>
    </row>
    <row r="54" customFormat="false" ht="21.75" hidden="false" customHeight="true" outlineLevel="0" collapsed="false">
      <c r="B54" s="8" t="s">
        <v>268</v>
      </c>
      <c r="C54" s="8"/>
      <c r="D54" s="8"/>
      <c r="E54" s="8"/>
      <c r="F54" s="8"/>
    </row>
    <row r="55" customFormat="false" ht="15" hidden="false" customHeight="true" outlineLevel="0" collapsed="false">
      <c r="B55" s="9" t="s">
        <v>269</v>
      </c>
      <c r="C55" s="27" t="n">
        <f aca="false">E19</f>
        <v>3900</v>
      </c>
    </row>
    <row r="56" customFormat="false" ht="15" hidden="false" customHeight="true" outlineLevel="0" collapsed="false">
      <c r="B56" s="9" t="s">
        <v>270</v>
      </c>
      <c r="C56" s="27" t="n">
        <f aca="false">C35</f>
        <v>2625</v>
      </c>
    </row>
    <row r="57" customFormat="false" ht="15" hidden="false" customHeight="true" outlineLevel="0" collapsed="false">
      <c r="B57" s="9" t="s">
        <v>271</v>
      </c>
      <c r="C57" s="27" t="n">
        <f aca="false">C52</f>
        <v>9800</v>
      </c>
    </row>
    <row r="58" customFormat="false" ht="15" hidden="false" customHeight="true" outlineLevel="0" collapsed="false">
      <c r="B58" s="9" t="s">
        <v>272</v>
      </c>
      <c r="C58" s="22" t="n">
        <f aca="false">SUM(C55:C57)</f>
        <v>16325</v>
      </c>
    </row>
    <row r="59" customFormat="false" ht="15" hidden="false" customHeight="true" outlineLevel="0" collapsed="false">
      <c r="B59" s="9" t="s">
        <v>273</v>
      </c>
      <c r="C59" s="22" t="n">
        <f aca="false">C58*12</f>
        <v>195900</v>
      </c>
    </row>
  </sheetData>
  <mergeCells count="6">
    <mergeCell ref="B2:F2"/>
    <mergeCell ref="B3:F3"/>
    <mergeCell ref="B5:F5"/>
    <mergeCell ref="B21:F21"/>
    <mergeCell ref="B37:F37"/>
    <mergeCell ref="B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75"/>
  </cols>
  <sheetData>
    <row r="2" customFormat="false" ht="30" hidden="false" customHeight="true" outlineLevel="0" collapsed="false">
      <c r="B2" s="6" t="s">
        <v>339</v>
      </c>
      <c r="C2" s="6"/>
    </row>
    <row r="3" customFormat="false" ht="19.5" hidden="false" customHeight="true" outlineLevel="0" collapsed="false">
      <c r="B3" s="7" t="s">
        <v>340</v>
      </c>
      <c r="C3" s="7"/>
    </row>
    <row r="5" customFormat="false" ht="21.75" hidden="false" customHeight="true" outlineLevel="0" collapsed="false">
      <c r="B5" s="8" t="s">
        <v>341</v>
      </c>
      <c r="C5" s="8"/>
    </row>
    <row r="6" customFormat="false" ht="60" hidden="false" customHeight="true" outlineLevel="0" collapsed="false">
      <c r="B6" s="28" t="s">
        <v>342</v>
      </c>
      <c r="C6" s="29" t="s">
        <v>343</v>
      </c>
    </row>
    <row r="7" customFormat="false" ht="30" hidden="false" customHeight="true" outlineLevel="0" collapsed="false">
      <c r="B7" s="28" t="s">
        <v>344</v>
      </c>
      <c r="C7" s="29" t="n">
        <v>5000000</v>
      </c>
    </row>
    <row r="8" customFormat="false" ht="30" hidden="false" customHeight="true" outlineLevel="0" collapsed="false">
      <c r="B8" s="28" t="s">
        <v>345</v>
      </c>
      <c r="C8" s="29" t="n">
        <v>750000</v>
      </c>
    </row>
    <row r="10" customFormat="false" ht="21.75" hidden="false" customHeight="true" outlineLevel="0" collapsed="false">
      <c r="B10" s="8" t="s">
        <v>346</v>
      </c>
      <c r="C10" s="8"/>
    </row>
    <row r="11" customFormat="false" ht="60" hidden="false" customHeight="true" outlineLevel="0" collapsed="false">
      <c r="B11" s="28" t="s">
        <v>347</v>
      </c>
      <c r="C11" s="29" t="s">
        <v>348</v>
      </c>
    </row>
    <row r="12" customFormat="false" ht="39.75" hidden="false" customHeight="true" outlineLevel="0" collapsed="false">
      <c r="B12" s="28" t="s">
        <v>349</v>
      </c>
      <c r="C12" s="29" t="n">
        <v>2000000</v>
      </c>
    </row>
    <row r="13" customFormat="false" ht="39.75" hidden="false" customHeight="true" outlineLevel="0" collapsed="false">
      <c r="B13" s="28" t="s">
        <v>350</v>
      </c>
      <c r="C13" s="29" t="n">
        <v>400000</v>
      </c>
    </row>
    <row r="15" customFormat="false" ht="21.75" hidden="false" customHeight="true" outlineLevel="0" collapsed="false">
      <c r="B15" s="8" t="s">
        <v>351</v>
      </c>
      <c r="C15" s="8"/>
    </row>
    <row r="16" customFormat="false" ht="49.5" hidden="false" customHeight="true" outlineLevel="0" collapsed="false">
      <c r="B16" s="28" t="s">
        <v>352</v>
      </c>
      <c r="C16" s="29" t="s">
        <v>353</v>
      </c>
    </row>
    <row r="17" customFormat="false" ht="49.5" hidden="false" customHeight="true" outlineLevel="0" collapsed="false">
      <c r="B17" s="28" t="s">
        <v>78</v>
      </c>
      <c r="C17" s="29" t="s">
        <v>354</v>
      </c>
    </row>
    <row r="18" customFormat="false" ht="49.5" hidden="false" customHeight="true" outlineLevel="0" collapsed="false">
      <c r="B18" s="28" t="s">
        <v>355</v>
      </c>
      <c r="C18" s="29" t="s">
        <v>356</v>
      </c>
    </row>
    <row r="19" customFormat="false" ht="49.5" hidden="false" customHeight="true" outlineLevel="0" collapsed="false">
      <c r="B19" s="28" t="s">
        <v>76</v>
      </c>
      <c r="C19" s="29" t="s">
        <v>357</v>
      </c>
    </row>
    <row r="20" customFormat="false" ht="49.5" hidden="false" customHeight="true" outlineLevel="0" collapsed="false">
      <c r="B20" s="28" t="s">
        <v>358</v>
      </c>
      <c r="C20" s="29" t="s">
        <v>359</v>
      </c>
    </row>
    <row r="22" customFormat="false" ht="21.75" hidden="false" customHeight="true" outlineLevel="0" collapsed="false">
      <c r="B22" s="8" t="s">
        <v>360</v>
      </c>
      <c r="C22" s="8"/>
    </row>
    <row r="23" customFormat="false" ht="30" hidden="false" customHeight="true" outlineLevel="0" collapsed="false">
      <c r="B23" s="28" t="s">
        <v>361</v>
      </c>
      <c r="C23" s="29" t="s">
        <v>362</v>
      </c>
    </row>
    <row r="24" customFormat="false" ht="30" hidden="false" customHeight="true" outlineLevel="0" collapsed="false">
      <c r="B24" s="28" t="s">
        <v>363</v>
      </c>
      <c r="C24" s="29" t="s">
        <v>364</v>
      </c>
    </row>
    <row r="25" customFormat="false" ht="30" hidden="false" customHeight="true" outlineLevel="0" collapsed="false">
      <c r="B25" s="28" t="s">
        <v>361</v>
      </c>
      <c r="C25" s="29" t="s">
        <v>365</v>
      </c>
    </row>
    <row r="26" customFormat="false" ht="30" hidden="false" customHeight="true" outlineLevel="0" collapsed="false">
      <c r="B26" s="28" t="s">
        <v>363</v>
      </c>
      <c r="C26" s="29" t="s">
        <v>366</v>
      </c>
    </row>
    <row r="27" customFormat="false" ht="30" hidden="false" customHeight="true" outlineLevel="0" collapsed="false">
      <c r="B27" s="28" t="s">
        <v>361</v>
      </c>
      <c r="C27" s="29" t="s">
        <v>367</v>
      </c>
    </row>
    <row r="28" customFormat="false" ht="30" hidden="false" customHeight="true" outlineLevel="0" collapsed="false">
      <c r="B28" s="28" t="s">
        <v>363</v>
      </c>
      <c r="C28" s="29" t="s">
        <v>368</v>
      </c>
    </row>
    <row r="30" customFormat="false" ht="21.75" hidden="false" customHeight="true" outlineLevel="0" collapsed="false">
      <c r="B30" s="8" t="s">
        <v>369</v>
      </c>
      <c r="C30" s="8"/>
    </row>
    <row r="31" customFormat="false" ht="34.5" hidden="false" customHeight="true" outlineLevel="0" collapsed="false">
      <c r="B31" s="28" t="s">
        <v>370</v>
      </c>
      <c r="C31" s="29" t="s">
        <v>371</v>
      </c>
    </row>
    <row r="32" customFormat="false" ht="34.5" hidden="false" customHeight="true" outlineLevel="0" collapsed="false">
      <c r="B32" s="28" t="s">
        <v>372</v>
      </c>
      <c r="C32" s="29" t="s">
        <v>373</v>
      </c>
    </row>
    <row r="33" customFormat="false" ht="34.5" hidden="false" customHeight="true" outlineLevel="0" collapsed="false">
      <c r="B33" s="28" t="s">
        <v>374</v>
      </c>
      <c r="C33" s="29" t="s">
        <v>375</v>
      </c>
    </row>
    <row r="34" customFormat="false" ht="34.5" hidden="false" customHeight="true" outlineLevel="0" collapsed="false">
      <c r="B34" s="28" t="s">
        <v>376</v>
      </c>
      <c r="C34" s="29" t="s">
        <v>377</v>
      </c>
    </row>
    <row r="35" customFormat="false" ht="34.5" hidden="false" customHeight="true" outlineLevel="0" collapsed="false">
      <c r="B35" s="28" t="s">
        <v>378</v>
      </c>
      <c r="C35" s="29"/>
    </row>
    <row r="37" customFormat="false" ht="21.75" hidden="false" customHeight="true" outlineLevel="0" collapsed="false">
      <c r="B37" s="8" t="s">
        <v>379</v>
      </c>
      <c r="C37" s="8"/>
    </row>
    <row r="38" customFormat="false" ht="39.75" hidden="false" customHeight="true" outlineLevel="0" collapsed="false">
      <c r="B38" s="28" t="s">
        <v>380</v>
      </c>
      <c r="C38" s="29"/>
    </row>
    <row r="39" customFormat="false" ht="39.75" hidden="false" customHeight="true" outlineLevel="0" collapsed="false">
      <c r="B39" s="28" t="s">
        <v>381</v>
      </c>
      <c r="C39" s="29"/>
    </row>
    <row r="40" customFormat="false" ht="39.75" hidden="false" customHeight="true" outlineLevel="0" collapsed="false">
      <c r="B40" s="28" t="s">
        <v>382</v>
      </c>
      <c r="C40" s="29"/>
    </row>
    <row r="42" customFormat="false" ht="21.75" hidden="false" customHeight="true" outlineLevel="0" collapsed="false">
      <c r="B42" s="8" t="s">
        <v>383</v>
      </c>
      <c r="C42" s="8"/>
    </row>
    <row r="43" customFormat="false" ht="30" hidden="false" customHeight="true" outlineLevel="0" collapsed="false">
      <c r="B43" s="28" t="s">
        <v>384</v>
      </c>
      <c r="C43" s="29"/>
    </row>
    <row r="44" customFormat="false" ht="30" hidden="false" customHeight="true" outlineLevel="0" collapsed="false">
      <c r="B44" s="28" t="s">
        <v>385</v>
      </c>
      <c r="C44" s="29"/>
    </row>
    <row r="45" customFormat="false" ht="30" hidden="false" customHeight="true" outlineLevel="0" collapsed="false">
      <c r="B45" s="28" t="s">
        <v>386</v>
      </c>
      <c r="C45" s="29"/>
    </row>
  </sheetData>
  <mergeCells count="9">
    <mergeCell ref="B2:C2"/>
    <mergeCell ref="B3:C3"/>
    <mergeCell ref="B5:C5"/>
    <mergeCell ref="B10:C10"/>
    <mergeCell ref="B15:C15"/>
    <mergeCell ref="B22:C22"/>
    <mergeCell ref="B30:C30"/>
    <mergeCell ref="B37:C37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6" min="3" style="1" width="18"/>
  </cols>
  <sheetData>
    <row r="2" customFormat="false" ht="30" hidden="false" customHeight="true" outlineLevel="0" collapsed="false">
      <c r="B2" s="6" t="s">
        <v>387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388</v>
      </c>
      <c r="C3" s="7"/>
      <c r="D3" s="7"/>
      <c r="E3" s="7"/>
      <c r="F3" s="7"/>
    </row>
    <row r="5" customFormat="false" ht="15" hidden="false" customHeight="true" outlineLevel="0" collapsed="false">
      <c r="B5" s="9" t="s">
        <v>389</v>
      </c>
      <c r="C5" s="30" t="n">
        <f aca="false">Settings!$D$24</f>
        <v>2026</v>
      </c>
    </row>
    <row r="6" customFormat="false" ht="15" hidden="false" customHeight="true" outlineLevel="0" collapsed="false">
      <c r="C6" s="14" t="s">
        <v>138</v>
      </c>
      <c r="D6" s="14" t="s">
        <v>141</v>
      </c>
      <c r="E6" s="14" t="s">
        <v>56</v>
      </c>
      <c r="F6" s="14" t="s">
        <v>390</v>
      </c>
    </row>
    <row r="7" customFormat="false" ht="21.75" hidden="false" customHeight="true" outlineLevel="0" collapsed="false">
      <c r="B7" s="8" t="s">
        <v>391</v>
      </c>
      <c r="C7" s="8"/>
      <c r="D7" s="8"/>
      <c r="E7" s="8"/>
      <c r="F7" s="8"/>
    </row>
    <row r="8" customFormat="false" ht="15" hidden="false" customHeight="true" outlineLevel="0" collapsed="false">
      <c r="B8" s="9" t="s">
        <v>54</v>
      </c>
      <c r="C8" s="27" t="n">
        <f aca="false">SUMIFS('Income Log'!$C$6:$C$205,'Income Log'!$D$6:$D$205,"His",'Income Log'!$F$6:$F$205,"Active Income",'Income Log'!$B$6:$B$205,"&gt;="&amp;DATE($C$5,1,1),'Income Log'!$B$6:$B$205,"&lt;="&amp;DATE($C$5,12,31))</f>
        <v>13000</v>
      </c>
      <c r="D8" s="27" t="n">
        <f aca="false">SUMIFS('Income Log'!$C$6:$C$205,'Income Log'!$D$6:$D$205,"Hers",'Income Log'!$F$6:$F$205,"Active Income",'Income Log'!$B$6:$B$205,"&gt;="&amp;DATE($C$5,1,1),'Income Log'!$B$6:$B$205,"&lt;="&amp;DATE($C$5,12,31))</f>
        <v>2400</v>
      </c>
      <c r="E8" s="27" t="n">
        <f aca="false">SUMIFS('Income Log'!$C$6:$C$205,'Income Log'!$D$6:$D$205,"Joint",'Income Log'!$F$6:$F$205,"Active Income",'Income Log'!$B$6:$B$205,"&gt;="&amp;DATE($C$5,1,1),'Income Log'!$B$6:$B$205,"&lt;="&amp;DATE($C$5,12,31))</f>
        <v>0</v>
      </c>
      <c r="F8" s="31" t="n">
        <f aca="false">SUM(C8:E8)</f>
        <v>15400</v>
      </c>
    </row>
    <row r="9" customFormat="false" ht="15" hidden="false" customHeight="true" outlineLevel="0" collapsed="false">
      <c r="B9" s="9" t="s">
        <v>57</v>
      </c>
      <c r="C9" s="27" t="n">
        <f aca="false">SUMIFS('Income Log'!$C$6:$C$205,'Income Log'!$D$6:$D$205,"His",'Income Log'!$F$6:$F$205,"Business Income",'Income Log'!$B$6:$B$205,"&gt;="&amp;DATE($C$5,1,1),'Income Log'!$B$6:$B$205,"&lt;="&amp;DATE($C$5,12,31))</f>
        <v>0</v>
      </c>
      <c r="D9" s="27" t="n">
        <f aca="false">SUMIFS('Income Log'!$C$6:$C$205,'Income Log'!$D$6:$D$205,"Hers",'Income Log'!$F$6:$F$205,"Business Income",'Income Log'!$B$6:$B$205,"&gt;="&amp;DATE($C$5,1,1),'Income Log'!$B$6:$B$205,"&lt;="&amp;DATE($C$5,12,31))</f>
        <v>0</v>
      </c>
      <c r="E9" s="27" t="n">
        <f aca="false">SUMIFS('Income Log'!$C$6:$C$205,'Income Log'!$D$6:$D$205,"Joint",'Income Log'!$F$6:$F$205,"Business Income",'Income Log'!$B$6:$B$205,"&gt;="&amp;DATE($C$5,1,1),'Income Log'!$B$6:$B$205,"&lt;="&amp;DATE($C$5,12,31))</f>
        <v>0</v>
      </c>
      <c r="F9" s="31" t="n">
        <f aca="false">SUM(C9:E9)</f>
        <v>0</v>
      </c>
    </row>
    <row r="10" customFormat="false" ht="15" hidden="false" customHeight="true" outlineLevel="0" collapsed="false">
      <c r="B10" s="9" t="s">
        <v>59</v>
      </c>
      <c r="C10" s="27" t="n">
        <f aca="false">SUMIFS('Income Log'!$C$6:$C$205,'Income Log'!$D$6:$D$205,"His",'Income Log'!$F$6:$F$205,"Passive Income",'Income Log'!$B$6:$B$205,"&gt;="&amp;DATE($C$5,1,1),'Income Log'!$B$6:$B$205,"&lt;="&amp;DATE($C$5,12,31))</f>
        <v>0</v>
      </c>
      <c r="D10" s="27" t="n">
        <f aca="false">SUMIFS('Income Log'!$C$6:$C$205,'Income Log'!$D$6:$D$205,"Hers",'Income Log'!$F$6:$F$205,"Passive Income",'Income Log'!$B$6:$B$205,"&gt;="&amp;DATE($C$5,1,1),'Income Log'!$B$6:$B$205,"&lt;="&amp;DATE($C$5,12,31))</f>
        <v>0</v>
      </c>
      <c r="E10" s="27" t="n">
        <f aca="false">SUMIFS('Income Log'!$C$6:$C$205,'Income Log'!$D$6:$D$205,"Joint",'Income Log'!$F$6:$F$205,"Passive Income",'Income Log'!$B$6:$B$205,"&gt;="&amp;DATE($C$5,1,1),'Income Log'!$B$6:$B$205,"&lt;="&amp;DATE($C$5,12,31))</f>
        <v>1200</v>
      </c>
      <c r="F10" s="31" t="n">
        <f aca="false">SUM(C10:E10)</f>
        <v>1200</v>
      </c>
    </row>
    <row r="11" customFormat="false" ht="15" hidden="false" customHeight="true" outlineLevel="0" collapsed="false">
      <c r="B11" s="9" t="s">
        <v>61</v>
      </c>
      <c r="C11" s="27" t="n">
        <f aca="false">SUMIFS('Income Log'!$C$6:$C$205,'Income Log'!$D$6:$D$205,"His",'Income Log'!$F$6:$F$205,"Side Income",'Income Log'!$B$6:$B$205,"&gt;="&amp;DATE($C$5,1,1),'Income Log'!$B$6:$B$205,"&lt;="&amp;DATE($C$5,12,31))</f>
        <v>0</v>
      </c>
      <c r="D11" s="27" t="n">
        <f aca="false">SUMIFS('Income Log'!$C$6:$C$205,'Income Log'!$D$6:$D$205,"Hers",'Income Log'!$F$6:$F$205,"Side Income",'Income Log'!$B$6:$B$205,"&gt;="&amp;DATE($C$5,1,1),'Income Log'!$B$6:$B$205,"&lt;="&amp;DATE($C$5,12,31))</f>
        <v>450</v>
      </c>
      <c r="E11" s="27" t="n">
        <f aca="false">SUMIFS('Income Log'!$C$6:$C$205,'Income Log'!$D$6:$D$205,"Joint",'Income Log'!$F$6:$F$205,"Side Income",'Income Log'!$B$6:$B$205,"&gt;="&amp;DATE($C$5,1,1),'Income Log'!$B$6:$B$205,"&lt;="&amp;DATE($C$5,12,31))</f>
        <v>0</v>
      </c>
      <c r="F11" s="31" t="n">
        <f aca="false">SUM(C11:E11)</f>
        <v>450</v>
      </c>
    </row>
    <row r="12" customFormat="false" ht="15" hidden="false" customHeight="true" outlineLevel="0" collapsed="false">
      <c r="B12" s="9" t="s">
        <v>63</v>
      </c>
      <c r="C12" s="27" t="n">
        <f aca="false">SUMIFS('Income Log'!$C$6:$C$205,'Income Log'!$D$6:$D$205,"His",'Income Log'!$F$6:$F$205,"Investment Gains",'Income Log'!$B$6:$B$205,"&gt;="&amp;DATE($C$5,1,1),'Income Log'!$B$6:$B$205,"&lt;="&amp;DATE($C$5,12,31))</f>
        <v>0</v>
      </c>
      <c r="D12" s="27" t="n">
        <f aca="false">SUMIFS('Income Log'!$C$6:$C$205,'Income Log'!$D$6:$D$205,"Hers",'Income Log'!$F$6:$F$205,"Investment Gains",'Income Log'!$B$6:$B$205,"&gt;="&amp;DATE($C$5,1,1),'Income Log'!$B$6:$B$205,"&lt;="&amp;DATE($C$5,12,31))</f>
        <v>0</v>
      </c>
      <c r="E12" s="27" t="n">
        <f aca="false">SUMIFS('Income Log'!$C$6:$C$205,'Income Log'!$D$6:$D$205,"Joint",'Income Log'!$F$6:$F$205,"Investment Gains",'Income Log'!$B$6:$B$205,"&gt;="&amp;DATE($C$5,1,1),'Income Log'!$B$6:$B$205,"&lt;="&amp;DATE($C$5,12,31))</f>
        <v>0</v>
      </c>
      <c r="F12" s="31" t="n">
        <f aca="false">SUM(C12:E12)</f>
        <v>0</v>
      </c>
    </row>
    <row r="13" customFormat="false" ht="15" hidden="false" customHeight="true" outlineLevel="0" collapsed="false">
      <c r="B13" s="9" t="s">
        <v>65</v>
      </c>
      <c r="C13" s="27" t="n">
        <f aca="false">SUMIFS('Income Log'!$C$6:$C$205,'Income Log'!$D$6:$D$205,"His",'Income Log'!$F$6:$F$205,"Gifts &amp; Windfalls",'Income Log'!$B$6:$B$205,"&gt;="&amp;DATE($C$5,1,1),'Income Log'!$B$6:$B$205,"&lt;="&amp;DATE($C$5,12,31))</f>
        <v>0</v>
      </c>
      <c r="D13" s="27" t="n">
        <f aca="false">SUMIFS('Income Log'!$C$6:$C$205,'Income Log'!$D$6:$D$205,"Hers",'Income Log'!$F$6:$F$205,"Gifts &amp; Windfalls",'Income Log'!$B$6:$B$205,"&gt;="&amp;DATE($C$5,1,1),'Income Log'!$B$6:$B$205,"&lt;="&amp;DATE($C$5,12,31))</f>
        <v>0</v>
      </c>
      <c r="E13" s="27" t="n">
        <f aca="false">SUMIFS('Income Log'!$C$6:$C$205,'Income Log'!$D$6:$D$205,"Joint",'Income Log'!$F$6:$F$205,"Gifts &amp; Windfalls",'Income Log'!$B$6:$B$205,"&gt;="&amp;DATE($C$5,1,1),'Income Log'!$B$6:$B$205,"&lt;="&amp;DATE($C$5,12,31))</f>
        <v>0</v>
      </c>
      <c r="F13" s="31" t="n">
        <f aca="false">SUM(C13:E13)</f>
        <v>0</v>
      </c>
    </row>
    <row r="14" customFormat="false" ht="15" hidden="false" customHeight="true" outlineLevel="0" collapsed="false">
      <c r="B14" s="9" t="s">
        <v>67</v>
      </c>
      <c r="C14" s="27" t="n">
        <f aca="false">SUMIFS('Income Log'!$C$6:$C$205,'Income Log'!$D$6:$D$205,"His",'Income Log'!$F$6:$F$205,"Other Income",'Income Log'!$B$6:$B$205,"&gt;="&amp;DATE($C$5,1,1),'Income Log'!$B$6:$B$205,"&lt;="&amp;DATE($C$5,12,31))</f>
        <v>0</v>
      </c>
      <c r="D14" s="27" t="n">
        <f aca="false">SUMIFS('Income Log'!$C$6:$C$205,'Income Log'!$D$6:$D$205,"Hers",'Income Log'!$F$6:$F$205,"Other Income",'Income Log'!$B$6:$B$205,"&gt;="&amp;DATE($C$5,1,1),'Income Log'!$B$6:$B$205,"&lt;="&amp;DATE($C$5,12,31))</f>
        <v>0</v>
      </c>
      <c r="E14" s="27" t="n">
        <f aca="false">SUMIFS('Income Log'!$C$6:$C$205,'Income Log'!$D$6:$D$205,"Joint",'Income Log'!$F$6:$F$205,"Other Income",'Income Log'!$B$6:$B$205,"&gt;="&amp;DATE($C$5,1,1),'Income Log'!$B$6:$B$205,"&lt;="&amp;DATE($C$5,12,31))</f>
        <v>0</v>
      </c>
      <c r="F14" s="31" t="n">
        <f aca="false">SUM(C14:E14)</f>
        <v>0</v>
      </c>
    </row>
    <row r="15" customFormat="false" ht="15" hidden="false" customHeight="true" outlineLevel="0" collapsed="false">
      <c r="B15" s="9" t="s">
        <v>392</v>
      </c>
      <c r="C15" s="22" t="n">
        <f aca="false">SUM(C8:C14)</f>
        <v>13000</v>
      </c>
      <c r="D15" s="22" t="n">
        <f aca="false">SUM(D8:D14)</f>
        <v>2850</v>
      </c>
      <c r="E15" s="22" t="n">
        <f aca="false">SUM(E8:E14)</f>
        <v>1200</v>
      </c>
      <c r="F15" s="22" t="n">
        <f aca="false">SUM(F8:F14)</f>
        <v>17050</v>
      </c>
    </row>
    <row r="17" customFormat="false" ht="21.75" hidden="false" customHeight="true" outlineLevel="0" collapsed="false">
      <c r="B17" s="8" t="s">
        <v>393</v>
      </c>
      <c r="C17" s="8"/>
      <c r="D17" s="8"/>
      <c r="E17" s="8"/>
      <c r="F17" s="8"/>
    </row>
    <row r="18" customFormat="false" ht="15" hidden="false" customHeight="true" outlineLevel="0" collapsed="false">
      <c r="B18" s="9" t="s">
        <v>70</v>
      </c>
      <c r="C18" s="27" t="n">
        <f aca="false">SUMIFS('Expense Log'!$C$6:$C$405,'Expense Log'!$D$6:$D$405,"His",'Expense Log'!$F$6:$F$405,"Housing",'Expense Log'!$B$6:$B$405,"&gt;="&amp;DATE($C$5,1,1),'Expense Log'!$B$6:$B$405,"&lt;="&amp;DATE($C$5,12,31))</f>
        <v>0</v>
      </c>
      <c r="D18" s="27" t="n">
        <f aca="false">SUMIFS('Expense Log'!$C$6:$C$405,'Expense Log'!$D$6:$D$405,"Hers",'Expense Log'!$F$6:$F$405,"Housing",'Expense Log'!$B$6:$B$405,"&gt;="&amp;DATE($C$5,1,1),'Expense Log'!$B$6:$B$405,"&lt;="&amp;DATE($C$5,12,31))</f>
        <v>0</v>
      </c>
      <c r="E18" s="27" t="n">
        <f aca="false">SUMIFS('Expense Log'!$C$6:$C$405,'Expense Log'!$D$6:$D$405,"Joint",'Expense Log'!$F$6:$F$405,"Housing",'Expense Log'!$B$6:$B$405,"&gt;="&amp;DATE($C$5,1,1),'Expense Log'!$B$6:$B$405,"&lt;="&amp;DATE($C$5,12,31))</f>
        <v>2945</v>
      </c>
      <c r="F18" s="31" t="n">
        <f aca="false">SUM(C18:E18)</f>
        <v>2945</v>
      </c>
    </row>
    <row r="19" customFormat="false" ht="15" hidden="false" customHeight="true" outlineLevel="0" collapsed="false">
      <c r="B19" s="9" t="s">
        <v>72</v>
      </c>
      <c r="C19" s="27" t="n">
        <f aca="false">SUMIFS('Expense Log'!$C$6:$C$405,'Expense Log'!$D$6:$D$405,"His",'Expense Log'!$F$6:$F$405,"Food",'Expense Log'!$B$6:$B$405,"&gt;="&amp;DATE($C$5,1,1),'Expense Log'!$B$6:$B$405,"&lt;="&amp;DATE($C$5,12,31))</f>
        <v>0</v>
      </c>
      <c r="D19" s="27" t="n">
        <f aca="false">SUMIFS('Expense Log'!$C$6:$C$405,'Expense Log'!$D$6:$D$405,"Hers",'Expense Log'!$F$6:$F$405,"Food",'Expense Log'!$B$6:$B$405,"&gt;="&amp;DATE($C$5,1,1),'Expense Log'!$B$6:$B$405,"&lt;="&amp;DATE($C$5,12,31))</f>
        <v>241.63</v>
      </c>
      <c r="E19" s="27" t="n">
        <f aca="false">SUMIFS('Expense Log'!$C$6:$C$405,'Expense Log'!$D$6:$D$405,"Joint",'Expense Log'!$F$6:$F$405,"Food",'Expense Log'!$B$6:$B$405,"&gt;="&amp;DATE($C$5,1,1),'Expense Log'!$B$6:$B$405,"&lt;="&amp;DATE($C$5,12,31))</f>
        <v>89</v>
      </c>
      <c r="F19" s="31" t="n">
        <f aca="false">SUM(C19:E19)</f>
        <v>330.63</v>
      </c>
    </row>
    <row r="20" customFormat="false" ht="15" hidden="false" customHeight="true" outlineLevel="0" collapsed="false">
      <c r="B20" s="9" t="s">
        <v>74</v>
      </c>
      <c r="C20" s="27" t="n">
        <f aca="false">SUMIFS('Expense Log'!$C$6:$C$405,'Expense Log'!$D$6:$D$405,"His",'Expense Log'!$F$6:$F$405,"Transport",'Expense Log'!$B$6:$B$405,"&gt;="&amp;DATE($C$5,1,1),'Expense Log'!$B$6:$B$405,"&lt;="&amp;DATE($C$5,12,31))</f>
        <v>317</v>
      </c>
      <c r="D20" s="27" t="n">
        <f aca="false">SUMIFS('Expense Log'!$C$6:$C$405,'Expense Log'!$D$6:$D$405,"Hers",'Expense Log'!$F$6:$F$405,"Transport",'Expense Log'!$B$6:$B$405,"&gt;="&amp;DATE($C$5,1,1),'Expense Log'!$B$6:$B$405,"&lt;="&amp;DATE($C$5,12,31))</f>
        <v>0</v>
      </c>
      <c r="E20" s="27" t="n">
        <f aca="false">SUMIFS('Expense Log'!$C$6:$C$405,'Expense Log'!$D$6:$D$405,"Joint",'Expense Log'!$F$6:$F$405,"Transport",'Expense Log'!$B$6:$B$405,"&gt;="&amp;DATE($C$5,1,1),'Expense Log'!$B$6:$B$405,"&lt;="&amp;DATE($C$5,12,31))</f>
        <v>0</v>
      </c>
      <c r="F20" s="31" t="n">
        <f aca="false">SUM(C20:E20)</f>
        <v>317</v>
      </c>
    </row>
    <row r="21" customFormat="false" ht="15" hidden="false" customHeight="true" outlineLevel="0" collapsed="false">
      <c r="B21" s="9" t="s">
        <v>76</v>
      </c>
      <c r="C21" s="27" t="n">
        <f aca="false">SUMIFS('Expense Log'!$C$6:$C$405,'Expense Log'!$D$6:$D$405,"His",'Expense Log'!$F$6:$F$405,"Health",'Expense Log'!$B$6:$B$405,"&gt;="&amp;DATE($C$5,1,1),'Expense Log'!$B$6:$B$405,"&lt;="&amp;DATE($C$5,12,31))</f>
        <v>0</v>
      </c>
      <c r="D21" s="27" t="n">
        <f aca="false">SUMIFS('Expense Log'!$C$6:$C$405,'Expense Log'!$D$6:$D$405,"Hers",'Expense Log'!$F$6:$F$405,"Health",'Expense Log'!$B$6:$B$405,"&gt;="&amp;DATE($C$5,1,1),'Expense Log'!$B$6:$B$405,"&lt;="&amp;DATE($C$5,12,31))</f>
        <v>32</v>
      </c>
      <c r="E21" s="27" t="n">
        <f aca="false">SUMIFS('Expense Log'!$C$6:$C$405,'Expense Log'!$D$6:$D$405,"Joint",'Expense Log'!$F$6:$F$405,"Health",'Expense Log'!$B$6:$B$405,"&gt;="&amp;DATE($C$5,1,1),'Expense Log'!$B$6:$B$405,"&lt;="&amp;DATE($C$5,12,31))</f>
        <v>520</v>
      </c>
      <c r="F21" s="31" t="n">
        <f aca="false">SUM(C21:E21)</f>
        <v>552</v>
      </c>
    </row>
    <row r="22" customFormat="false" ht="15" hidden="false" customHeight="true" outlineLevel="0" collapsed="false">
      <c r="B22" s="9" t="s">
        <v>78</v>
      </c>
      <c r="C22" s="27" t="n">
        <f aca="false">SUMIFS('Expense Log'!$C$6:$C$405,'Expense Log'!$D$6:$D$405,"His",'Expense Log'!$F$6:$F$405,"Lifestyle",'Expense Log'!$B$6:$B$405,"&gt;="&amp;DATE($C$5,1,1),'Expense Log'!$B$6:$B$405,"&lt;="&amp;DATE($C$5,12,31))</f>
        <v>0</v>
      </c>
      <c r="D22" s="27" t="n">
        <f aca="false">SUMIFS('Expense Log'!$C$6:$C$405,'Expense Log'!$D$6:$D$405,"Hers",'Expense Log'!$F$6:$F$405,"Lifestyle",'Expense Log'!$B$6:$B$405,"&gt;="&amp;DATE($C$5,1,1),'Expense Log'!$B$6:$B$405,"&lt;="&amp;DATE($C$5,12,31))</f>
        <v>0</v>
      </c>
      <c r="E22" s="27" t="n">
        <f aca="false">SUMIFS('Expense Log'!$C$6:$C$405,'Expense Log'!$D$6:$D$405,"Joint",'Expense Log'!$F$6:$F$405,"Lifestyle",'Expense Log'!$B$6:$B$405,"&gt;="&amp;DATE($C$5,1,1),'Expense Log'!$B$6:$B$405,"&lt;="&amp;DATE($C$5,12,31))</f>
        <v>0</v>
      </c>
      <c r="F22" s="31" t="n">
        <f aca="false">SUM(C22:E22)</f>
        <v>0</v>
      </c>
    </row>
    <row r="23" customFormat="false" ht="15" hidden="false" customHeight="true" outlineLevel="0" collapsed="false">
      <c r="B23" s="9" t="s">
        <v>80</v>
      </c>
      <c r="C23" s="27" t="n">
        <f aca="false">SUMIFS('Expense Log'!$C$6:$C$405,'Expense Log'!$D$6:$D$405,"His",'Expense Log'!$F$6:$F$405,"Travel &amp; Adventure",'Expense Log'!$B$6:$B$405,"&gt;="&amp;DATE($C$5,1,1),'Expense Log'!$B$6:$B$405,"&lt;="&amp;DATE($C$5,12,31))</f>
        <v>0</v>
      </c>
      <c r="D23" s="27" t="n">
        <f aca="false">SUMIFS('Expense Log'!$C$6:$C$405,'Expense Log'!$D$6:$D$405,"Hers",'Expense Log'!$F$6:$F$405,"Travel &amp; Adventure",'Expense Log'!$B$6:$B$405,"&gt;="&amp;DATE($C$5,1,1),'Expense Log'!$B$6:$B$405,"&lt;="&amp;DATE($C$5,12,31))</f>
        <v>0</v>
      </c>
      <c r="E23" s="27" t="n">
        <f aca="false">SUMIFS('Expense Log'!$C$6:$C$405,'Expense Log'!$D$6:$D$405,"Joint",'Expense Log'!$F$6:$F$405,"Travel &amp; Adventure",'Expense Log'!$B$6:$B$405,"&gt;="&amp;DATE($C$5,1,1),'Expense Log'!$B$6:$B$405,"&lt;="&amp;DATE($C$5,12,31))</f>
        <v>0</v>
      </c>
      <c r="F23" s="31" t="n">
        <f aca="false">SUM(C23:E23)</f>
        <v>0</v>
      </c>
    </row>
    <row r="24" customFormat="false" ht="15" hidden="false" customHeight="true" outlineLevel="0" collapsed="false">
      <c r="B24" s="9" t="s">
        <v>82</v>
      </c>
      <c r="C24" s="27" t="n">
        <f aca="false">SUMIFS('Expense Log'!$C$6:$C$405,'Expense Log'!$D$6:$D$405,"His",'Expense Log'!$F$6:$F$405,"Family &amp; Kids",'Expense Log'!$B$6:$B$405,"&gt;="&amp;DATE($C$5,1,1),'Expense Log'!$B$6:$B$405,"&lt;="&amp;DATE($C$5,12,31))</f>
        <v>0</v>
      </c>
      <c r="D24" s="27" t="n">
        <f aca="false">SUMIFS('Expense Log'!$C$6:$C$405,'Expense Log'!$D$6:$D$405,"Hers",'Expense Log'!$F$6:$F$405,"Family &amp; Kids",'Expense Log'!$B$6:$B$405,"&gt;="&amp;DATE($C$5,1,1),'Expense Log'!$B$6:$B$405,"&lt;="&amp;DATE($C$5,12,31))</f>
        <v>0</v>
      </c>
      <c r="E24" s="27" t="n">
        <f aca="false">SUMIFS('Expense Log'!$C$6:$C$405,'Expense Log'!$D$6:$D$405,"Joint",'Expense Log'!$F$6:$F$405,"Family &amp; Kids",'Expense Log'!$B$6:$B$405,"&gt;="&amp;DATE($C$5,1,1),'Expense Log'!$B$6:$B$405,"&lt;="&amp;DATE($C$5,12,31))</f>
        <v>0</v>
      </c>
      <c r="F24" s="31" t="n">
        <f aca="false">SUM(C24:E24)</f>
        <v>0</v>
      </c>
    </row>
    <row r="25" customFormat="false" ht="15" hidden="false" customHeight="true" outlineLevel="0" collapsed="false">
      <c r="B25" s="9" t="s">
        <v>84</v>
      </c>
      <c r="C25" s="27" t="n">
        <f aca="false">SUMIFS('Expense Log'!$C$6:$C$405,'Expense Log'!$D$6:$D$405,"His",'Expense Log'!$F$6:$F$405,"Education",'Expense Log'!$B$6:$B$405,"&gt;="&amp;DATE($C$5,1,1),'Expense Log'!$B$6:$B$405,"&lt;="&amp;DATE($C$5,12,31))</f>
        <v>240</v>
      </c>
      <c r="D25" s="27" t="n">
        <f aca="false">SUMIFS('Expense Log'!$C$6:$C$405,'Expense Log'!$D$6:$D$405,"Hers",'Expense Log'!$F$6:$F$405,"Education",'Expense Log'!$B$6:$B$405,"&gt;="&amp;DATE($C$5,1,1),'Expense Log'!$B$6:$B$405,"&lt;="&amp;DATE($C$5,12,31))</f>
        <v>220</v>
      </c>
      <c r="E25" s="27" t="n">
        <f aca="false">SUMIFS('Expense Log'!$C$6:$C$405,'Expense Log'!$D$6:$D$405,"Joint",'Expense Log'!$F$6:$F$405,"Education",'Expense Log'!$B$6:$B$405,"&gt;="&amp;DATE($C$5,1,1),'Expense Log'!$B$6:$B$405,"&lt;="&amp;DATE($C$5,12,31))</f>
        <v>0</v>
      </c>
      <c r="F25" s="31" t="n">
        <f aca="false">SUM(C25:E25)</f>
        <v>460</v>
      </c>
    </row>
    <row r="26" customFormat="false" ht="15" hidden="false" customHeight="true" outlineLevel="0" collapsed="false">
      <c r="B26" s="9" t="s">
        <v>86</v>
      </c>
      <c r="C26" s="27" t="n">
        <f aca="false">SUMIFS('Expense Log'!$C$6:$C$405,'Expense Log'!$D$6:$D$405,"His",'Expense Log'!$F$6:$F$405,"Personal",'Expense Log'!$B$6:$B$405,"&gt;="&amp;DATE($C$5,1,1),'Expense Log'!$B$6:$B$405,"&lt;="&amp;DATE($C$5,12,31))</f>
        <v>0</v>
      </c>
      <c r="D26" s="27" t="n">
        <f aca="false">SUMIFS('Expense Log'!$C$6:$C$405,'Expense Log'!$D$6:$D$405,"Hers",'Expense Log'!$F$6:$F$405,"Personal",'Expense Log'!$B$6:$B$405,"&gt;="&amp;DATE($C$5,1,1),'Expense Log'!$B$6:$B$405,"&lt;="&amp;DATE($C$5,12,31))</f>
        <v>0</v>
      </c>
      <c r="E26" s="27" t="n">
        <f aca="false">SUMIFS('Expense Log'!$C$6:$C$405,'Expense Log'!$D$6:$D$405,"Joint",'Expense Log'!$F$6:$F$405,"Personal",'Expense Log'!$B$6:$B$405,"&gt;="&amp;DATE($C$5,1,1),'Expense Log'!$B$6:$B$405,"&lt;="&amp;DATE($C$5,12,31))</f>
        <v>0</v>
      </c>
      <c r="F26" s="31" t="n">
        <f aca="false">SUM(C26:E26)</f>
        <v>0</v>
      </c>
    </row>
    <row r="27" customFormat="false" ht="15" hidden="false" customHeight="true" outlineLevel="0" collapsed="false">
      <c r="B27" s="9" t="s">
        <v>88</v>
      </c>
      <c r="C27" s="27" t="n">
        <f aca="false">SUMIFS('Expense Log'!$C$6:$C$405,'Expense Log'!$D$6:$D$405,"His",'Expense Log'!$F$6:$F$405,"Subscriptions",'Expense Log'!$B$6:$B$405,"&gt;="&amp;DATE($C$5,1,1),'Expense Log'!$B$6:$B$405,"&lt;="&amp;DATE($C$5,12,31))</f>
        <v>0</v>
      </c>
      <c r="D27" s="27" t="n">
        <f aca="false">SUMIFS('Expense Log'!$C$6:$C$405,'Expense Log'!$D$6:$D$405,"Hers",'Expense Log'!$F$6:$F$405,"Subscriptions",'Expense Log'!$B$6:$B$405,"&gt;="&amp;DATE($C$5,1,1),'Expense Log'!$B$6:$B$405,"&lt;="&amp;DATE($C$5,12,31))</f>
        <v>0</v>
      </c>
      <c r="E27" s="27" t="n">
        <f aca="false">SUMIFS('Expense Log'!$C$6:$C$405,'Expense Log'!$D$6:$D$405,"Joint",'Expense Log'!$F$6:$F$405,"Subscriptions",'Expense Log'!$B$6:$B$405,"&gt;="&amp;DATE($C$5,1,1),'Expense Log'!$B$6:$B$405,"&lt;="&amp;DATE($C$5,12,31))</f>
        <v>14.99</v>
      </c>
      <c r="F27" s="31" t="n">
        <f aca="false">SUM(C27:E27)</f>
        <v>14.99</v>
      </c>
    </row>
    <row r="28" customFormat="false" ht="15" hidden="false" customHeight="true" outlineLevel="0" collapsed="false">
      <c r="B28" s="9" t="s">
        <v>90</v>
      </c>
      <c r="C28" s="27" t="n">
        <f aca="false">SUMIFS('Expense Log'!$C$6:$C$405,'Expense Log'!$D$6:$D$405,"His",'Expense Log'!$F$6:$F$405,"Giving",'Expense Log'!$B$6:$B$405,"&gt;="&amp;DATE($C$5,1,1),'Expense Log'!$B$6:$B$405,"&lt;="&amp;DATE($C$5,12,31))</f>
        <v>0</v>
      </c>
      <c r="D28" s="27" t="n">
        <f aca="false">SUMIFS('Expense Log'!$C$6:$C$405,'Expense Log'!$D$6:$D$405,"Hers",'Expense Log'!$F$6:$F$405,"Giving",'Expense Log'!$B$6:$B$405,"&gt;="&amp;DATE($C$5,1,1),'Expense Log'!$B$6:$B$405,"&lt;="&amp;DATE($C$5,12,31))</f>
        <v>0</v>
      </c>
      <c r="E28" s="27" t="n">
        <f aca="false">SUMIFS('Expense Log'!$C$6:$C$405,'Expense Log'!$D$6:$D$405,"Joint",'Expense Log'!$F$6:$F$405,"Giving",'Expense Log'!$B$6:$B$405,"&gt;="&amp;DATE($C$5,1,1),'Expense Log'!$B$6:$B$405,"&lt;="&amp;DATE($C$5,12,31))</f>
        <v>1200</v>
      </c>
      <c r="F28" s="31" t="n">
        <f aca="false">SUM(C28:E28)</f>
        <v>1200</v>
      </c>
    </row>
    <row r="29" customFormat="false" ht="15" hidden="false" customHeight="true" outlineLevel="0" collapsed="false">
      <c r="B29" s="9" t="s">
        <v>92</v>
      </c>
      <c r="C29" s="27" t="n">
        <f aca="false">SUMIFS('Expense Log'!$C$6:$C$405,'Expense Log'!$D$6:$D$405,"His",'Expense Log'!$F$6:$F$405,"Taxes",'Expense Log'!$B$6:$B$405,"&gt;="&amp;DATE($C$5,1,1),'Expense Log'!$B$6:$B$405,"&lt;="&amp;DATE($C$5,12,31))</f>
        <v>0</v>
      </c>
      <c r="D29" s="27" t="n">
        <f aca="false">SUMIFS('Expense Log'!$C$6:$C$405,'Expense Log'!$D$6:$D$405,"Hers",'Expense Log'!$F$6:$F$405,"Taxes",'Expense Log'!$B$6:$B$405,"&gt;="&amp;DATE($C$5,1,1),'Expense Log'!$B$6:$B$405,"&lt;="&amp;DATE($C$5,12,31))</f>
        <v>0</v>
      </c>
      <c r="E29" s="27" t="n">
        <f aca="false">SUMIFS('Expense Log'!$C$6:$C$405,'Expense Log'!$D$6:$D$405,"Joint",'Expense Log'!$F$6:$F$405,"Taxes",'Expense Log'!$B$6:$B$405,"&gt;="&amp;DATE($C$5,1,1),'Expense Log'!$B$6:$B$405,"&lt;="&amp;DATE($C$5,12,31))</f>
        <v>0</v>
      </c>
      <c r="F29" s="31" t="n">
        <f aca="false">SUM(C29:E29)</f>
        <v>0</v>
      </c>
    </row>
    <row r="30" customFormat="false" ht="15" hidden="false" customHeight="true" outlineLevel="0" collapsed="false">
      <c r="B30" s="9" t="s">
        <v>94</v>
      </c>
      <c r="C30" s="27" t="n">
        <f aca="false">SUMIFS('Expense Log'!$C$6:$C$405,'Expense Log'!$D$6:$D$405,"His",'Expense Log'!$F$6:$F$405,"Debt Service",'Expense Log'!$B$6:$B$405,"&gt;="&amp;DATE($C$5,1,1),'Expense Log'!$B$6:$B$405,"&lt;="&amp;DATE($C$5,12,31))</f>
        <v>0</v>
      </c>
      <c r="D30" s="27" t="n">
        <f aca="false">SUMIFS('Expense Log'!$C$6:$C$405,'Expense Log'!$D$6:$D$405,"Hers",'Expense Log'!$F$6:$F$405,"Debt Service",'Expense Log'!$B$6:$B$405,"&gt;="&amp;DATE($C$5,1,1),'Expense Log'!$B$6:$B$405,"&lt;="&amp;DATE($C$5,12,31))</f>
        <v>0</v>
      </c>
      <c r="E30" s="27" t="n">
        <f aca="false">SUMIFS('Expense Log'!$C$6:$C$405,'Expense Log'!$D$6:$D$405,"Joint",'Expense Log'!$F$6:$F$405,"Debt Service",'Expense Log'!$B$6:$B$405,"&gt;="&amp;DATE($C$5,1,1),'Expense Log'!$B$6:$B$405,"&lt;="&amp;DATE($C$5,12,31))</f>
        <v>0</v>
      </c>
      <c r="F30" s="31" t="n">
        <f aca="false">SUM(C30:E30)</f>
        <v>0</v>
      </c>
    </row>
    <row r="31" customFormat="false" ht="15" hidden="false" customHeight="true" outlineLevel="0" collapsed="false">
      <c r="B31" s="9" t="s">
        <v>96</v>
      </c>
      <c r="C31" s="27" t="n">
        <f aca="false">SUMIFS('Expense Log'!$C$6:$C$405,'Expense Log'!$D$6:$D$405,"His",'Expense Log'!$F$6:$F$405,"Insurance",'Expense Log'!$B$6:$B$405,"&gt;="&amp;DATE($C$5,1,1),'Expense Log'!$B$6:$B$405,"&lt;="&amp;DATE($C$5,12,31))</f>
        <v>0</v>
      </c>
      <c r="D31" s="27" t="n">
        <f aca="false">SUMIFS('Expense Log'!$C$6:$C$405,'Expense Log'!$D$6:$D$405,"Hers",'Expense Log'!$F$6:$F$405,"Insurance",'Expense Log'!$B$6:$B$405,"&gt;="&amp;DATE($C$5,1,1),'Expense Log'!$B$6:$B$405,"&lt;="&amp;DATE($C$5,12,31))</f>
        <v>0</v>
      </c>
      <c r="E31" s="27" t="n">
        <f aca="false">SUMIFS('Expense Log'!$C$6:$C$405,'Expense Log'!$D$6:$D$405,"Joint",'Expense Log'!$F$6:$F$405,"Insurance",'Expense Log'!$B$6:$B$405,"&gt;="&amp;DATE($C$5,1,1),'Expense Log'!$B$6:$B$405,"&lt;="&amp;DATE($C$5,12,31))</f>
        <v>0</v>
      </c>
      <c r="F31" s="31" t="n">
        <f aca="false">SUM(C31:E31)</f>
        <v>0</v>
      </c>
    </row>
    <row r="32" customFormat="false" ht="15" hidden="false" customHeight="true" outlineLevel="0" collapsed="false">
      <c r="B32" s="9" t="s">
        <v>98</v>
      </c>
      <c r="C32" s="27" t="n">
        <f aca="false">SUMIFS('Expense Log'!$C$6:$C$405,'Expense Log'!$D$6:$D$405,"His",'Expense Log'!$F$6:$F$405,"Other Expenses",'Expense Log'!$B$6:$B$405,"&gt;="&amp;DATE($C$5,1,1),'Expense Log'!$B$6:$B$405,"&lt;="&amp;DATE($C$5,12,31))</f>
        <v>0</v>
      </c>
      <c r="D32" s="27" t="n">
        <f aca="false">SUMIFS('Expense Log'!$C$6:$C$405,'Expense Log'!$D$6:$D$405,"Hers",'Expense Log'!$F$6:$F$405,"Other Expenses",'Expense Log'!$B$6:$B$405,"&gt;="&amp;DATE($C$5,1,1),'Expense Log'!$B$6:$B$405,"&lt;="&amp;DATE($C$5,12,31))</f>
        <v>0</v>
      </c>
      <c r="E32" s="27" t="n">
        <f aca="false">SUMIFS('Expense Log'!$C$6:$C$405,'Expense Log'!$D$6:$D$405,"Joint",'Expense Log'!$F$6:$F$405,"Other Expenses",'Expense Log'!$B$6:$B$405,"&gt;="&amp;DATE($C$5,1,1),'Expense Log'!$B$6:$B$405,"&lt;="&amp;DATE($C$5,12,31))</f>
        <v>0</v>
      </c>
      <c r="F32" s="31" t="n">
        <f aca="false">SUM(C32:E32)</f>
        <v>0</v>
      </c>
    </row>
    <row r="33" customFormat="false" ht="15" hidden="false" customHeight="true" outlineLevel="0" collapsed="false">
      <c r="B33" s="9" t="s">
        <v>394</v>
      </c>
      <c r="C33" s="22" t="n">
        <f aca="false">SUM(C18:C32)</f>
        <v>557</v>
      </c>
      <c r="D33" s="22" t="n">
        <f aca="false">SUM(D18:D32)</f>
        <v>493.63</v>
      </c>
      <c r="E33" s="22" t="n">
        <f aca="false">SUM(E18:E32)</f>
        <v>4768.99</v>
      </c>
      <c r="F33" s="22" t="n">
        <f aca="false">SUM(F18:F32)</f>
        <v>5819.62</v>
      </c>
    </row>
    <row r="35" customFormat="false" ht="15" hidden="false" customHeight="true" outlineLevel="0" collapsed="false">
      <c r="B35" s="9" t="s">
        <v>395</v>
      </c>
      <c r="C35" s="22" t="n">
        <f aca="false">C15-C33</f>
        <v>12443</v>
      </c>
      <c r="D35" s="22" t="n">
        <f aca="false">D15-D33</f>
        <v>2356.37</v>
      </c>
      <c r="E35" s="22" t="n">
        <f aca="false">E15-E33</f>
        <v>-3568.99</v>
      </c>
      <c r="F35" s="22" t="n">
        <f aca="false">F15-F33</f>
        <v>11230.38</v>
      </c>
    </row>
    <row r="37" customFormat="false" ht="30" hidden="false" customHeight="true" outlineLevel="0" collapsed="false">
      <c r="B37" s="13" t="s">
        <v>396</v>
      </c>
      <c r="C37" s="13"/>
      <c r="D37" s="13"/>
      <c r="E37" s="13"/>
      <c r="F37" s="13"/>
    </row>
  </sheetData>
  <mergeCells count="5">
    <mergeCell ref="B2:F2"/>
    <mergeCell ref="B3:F3"/>
    <mergeCell ref="B7:F7"/>
    <mergeCell ref="B17:F17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50"/>
  </cols>
  <sheetData>
    <row r="2" customFormat="false" ht="30" hidden="false" customHeight="true" outlineLevel="0" collapsed="false">
      <c r="B2" s="6" t="s">
        <v>397</v>
      </c>
      <c r="C2" s="6"/>
      <c r="D2" s="6"/>
    </row>
    <row r="3" customFormat="false" ht="19.5" hidden="false" customHeight="true" outlineLevel="0" collapsed="false">
      <c r="B3" s="7" t="s">
        <v>398</v>
      </c>
      <c r="C3" s="7"/>
      <c r="D3" s="7"/>
    </row>
    <row r="5" customFormat="false" ht="15" hidden="false" customHeight="true" outlineLevel="0" collapsed="false">
      <c r="B5" s="9" t="s">
        <v>389</v>
      </c>
      <c r="C5" s="30" t="n">
        <f aca="false">Settings!$D$24</f>
        <v>2026</v>
      </c>
    </row>
    <row r="7" customFormat="false" ht="21.75" hidden="false" customHeight="true" outlineLevel="0" collapsed="false">
      <c r="B7" s="8" t="s">
        <v>399</v>
      </c>
      <c r="C7" s="8"/>
      <c r="D7" s="8"/>
    </row>
    <row r="8" customFormat="false" ht="15" hidden="false" customHeight="true" outlineLevel="0" collapsed="false">
      <c r="B8" s="9" t="s">
        <v>400</v>
      </c>
      <c r="C8" s="27" t="n">
        <f aca="false">'Income Statement'!F15</f>
        <v>17050</v>
      </c>
      <c r="D8" s="32" t="s">
        <v>401</v>
      </c>
    </row>
    <row r="9" customFormat="false" ht="15" hidden="false" customHeight="true" outlineLevel="0" collapsed="false">
      <c r="B9" s="9" t="s">
        <v>402</v>
      </c>
      <c r="C9" s="27" t="n">
        <f aca="false">-'Income Statement'!F33</f>
        <v>-5819.62</v>
      </c>
      <c r="D9" s="32" t="s">
        <v>403</v>
      </c>
    </row>
    <row r="10" customFormat="false" ht="15" hidden="false" customHeight="true" outlineLevel="0" collapsed="false">
      <c r="B10" s="9" t="s">
        <v>404</v>
      </c>
      <c r="C10" s="22" t="n">
        <f aca="false">C8+C9</f>
        <v>11230.38</v>
      </c>
    </row>
    <row r="12" customFormat="false" ht="21.75" hidden="false" customHeight="true" outlineLevel="0" collapsed="false">
      <c r="B12" s="8" t="s">
        <v>405</v>
      </c>
      <c r="C12" s="8"/>
      <c r="D12" s="8"/>
    </row>
    <row r="13" customFormat="false" ht="15" hidden="false" customHeight="true" outlineLevel="0" collapsed="false">
      <c r="B13" s="9" t="s">
        <v>406</v>
      </c>
      <c r="C13" s="33" t="n">
        <v>0</v>
      </c>
      <c r="D13" s="32" t="s">
        <v>407</v>
      </c>
    </row>
    <row r="14" customFormat="false" ht="15" hidden="false" customHeight="true" outlineLevel="0" collapsed="false">
      <c r="B14" s="9" t="s">
        <v>408</v>
      </c>
      <c r="C14" s="33" t="n">
        <v>0</v>
      </c>
      <c r="D14" s="32" t="s">
        <v>409</v>
      </c>
    </row>
    <row r="15" customFormat="false" ht="15" hidden="false" customHeight="true" outlineLevel="0" collapsed="false">
      <c r="B15" s="9" t="s">
        <v>410</v>
      </c>
      <c r="C15" s="22" t="n">
        <f aca="false">C13+C14</f>
        <v>0</v>
      </c>
    </row>
    <row r="17" customFormat="false" ht="21.75" hidden="false" customHeight="true" outlineLevel="0" collapsed="false">
      <c r="B17" s="8" t="s">
        <v>411</v>
      </c>
      <c r="C17" s="8"/>
      <c r="D17" s="8"/>
    </row>
    <row r="18" customFormat="false" ht="15" hidden="false" customHeight="true" outlineLevel="0" collapsed="false">
      <c r="B18" s="9" t="s">
        <v>412</v>
      </c>
      <c r="C18" s="33" t="n">
        <v>0</v>
      </c>
      <c r="D18" s="32" t="s">
        <v>413</v>
      </c>
    </row>
    <row r="19" customFormat="false" ht="15" hidden="false" customHeight="true" outlineLevel="0" collapsed="false">
      <c r="B19" s="9" t="s">
        <v>414</v>
      </c>
      <c r="C19" s="33" t="n">
        <v>0</v>
      </c>
      <c r="D19" s="32" t="s">
        <v>415</v>
      </c>
    </row>
    <row r="20" customFormat="false" ht="15" hidden="false" customHeight="true" outlineLevel="0" collapsed="false">
      <c r="B20" s="9" t="s">
        <v>416</v>
      </c>
      <c r="C20" s="22" t="n">
        <f aca="false">C18+C19</f>
        <v>0</v>
      </c>
    </row>
    <row r="22" customFormat="false" ht="21.75" hidden="false" customHeight="true" outlineLevel="0" collapsed="false">
      <c r="B22" s="8" t="s">
        <v>417</v>
      </c>
      <c r="C22" s="8"/>
      <c r="D22" s="8"/>
    </row>
    <row r="23" customFormat="false" ht="15" hidden="false" customHeight="true" outlineLevel="0" collapsed="false">
      <c r="B23" s="9" t="s">
        <v>418</v>
      </c>
      <c r="C23" s="22" t="n">
        <f aca="false">C10+C15+C20</f>
        <v>11230.38</v>
      </c>
    </row>
  </sheetData>
  <mergeCells count="6">
    <mergeCell ref="B2:D2"/>
    <mergeCell ref="B3:D3"/>
    <mergeCell ref="B7:D7"/>
    <mergeCell ref="B12:D12"/>
    <mergeCell ref="B17:D17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6" min="3" style="1" width="18"/>
  </cols>
  <sheetData>
    <row r="2" customFormat="false" ht="30" hidden="false" customHeight="true" outlineLevel="0" collapsed="false">
      <c r="B2" s="6" t="s">
        <v>419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420</v>
      </c>
      <c r="C3" s="7"/>
      <c r="D3" s="7"/>
      <c r="E3" s="7"/>
      <c r="F3" s="7"/>
    </row>
    <row r="5" customFormat="false" ht="15" hidden="false" customHeight="true" outlineLevel="0" collapsed="false">
      <c r="B5" s="9" t="s">
        <v>187</v>
      </c>
      <c r="C5" s="34" t="n">
        <f aca="true">TODAY()</f>
        <v>46140</v>
      </c>
    </row>
    <row r="6" customFormat="false" ht="15" hidden="false" customHeight="true" outlineLevel="0" collapsed="false">
      <c r="C6" s="14" t="s">
        <v>138</v>
      </c>
      <c r="D6" s="14" t="s">
        <v>141</v>
      </c>
      <c r="E6" s="14" t="s">
        <v>56</v>
      </c>
      <c r="F6" s="14" t="s">
        <v>390</v>
      </c>
    </row>
    <row r="7" customFormat="false" ht="21.75" hidden="false" customHeight="true" outlineLevel="0" collapsed="false">
      <c r="B7" s="8" t="s">
        <v>421</v>
      </c>
      <c r="C7" s="8"/>
      <c r="D7" s="8"/>
      <c r="E7" s="8"/>
      <c r="F7" s="8"/>
    </row>
    <row r="8" customFormat="false" ht="15" hidden="false" customHeight="true" outlineLevel="0" collapsed="false">
      <c r="B8" s="9" t="s">
        <v>100</v>
      </c>
      <c r="C8" s="27" t="n">
        <f aca="false">SUMIFS('Assets Register'!$G$6:$G$105,'Assets Register'!$C$6:$C$105,"His",'Assets Register'!$D$6:$D$105,"Cash &amp; Equivalents")</f>
        <v>0</v>
      </c>
      <c r="D8" s="27" t="n">
        <f aca="false">SUMIFS('Assets Register'!$G$6:$G$105,'Assets Register'!$C$6:$C$105,"Hers",'Assets Register'!$D$6:$D$105,"Cash &amp; Equivalents")</f>
        <v>0</v>
      </c>
      <c r="E8" s="27" t="n">
        <f aca="false">SUMIFS('Assets Register'!$G$6:$G$105,'Assets Register'!$C$6:$C$105,"Joint",'Assets Register'!$D$6:$D$105,"Cash &amp; Equivalents")</f>
        <v>47400</v>
      </c>
      <c r="F8" s="31" t="n">
        <f aca="false">SUM(C8:E8)</f>
        <v>47400</v>
      </c>
    </row>
    <row r="9" customFormat="false" ht="15" hidden="false" customHeight="true" outlineLevel="0" collapsed="false">
      <c r="B9" s="9" t="s">
        <v>102</v>
      </c>
      <c r="C9" s="27" t="n">
        <f aca="false">SUMIFS('Assets Register'!$G$6:$G$105,'Assets Register'!$C$6:$C$105,"His",'Assets Register'!$D$6:$D$105,"Taxable Investments")</f>
        <v>87500</v>
      </c>
      <c r="D9" s="27" t="n">
        <f aca="false">SUMIFS('Assets Register'!$G$6:$G$105,'Assets Register'!$C$6:$C$105,"Hers",'Assets Register'!$D$6:$D$105,"Taxable Investments")</f>
        <v>0</v>
      </c>
      <c r="E9" s="27" t="n">
        <f aca="false">SUMIFS('Assets Register'!$G$6:$G$105,'Assets Register'!$C$6:$C$105,"Joint",'Assets Register'!$D$6:$D$105,"Taxable Investments")</f>
        <v>0</v>
      </c>
      <c r="F9" s="31" t="n">
        <f aca="false">SUM(C9:E9)</f>
        <v>87500</v>
      </c>
    </row>
    <row r="10" customFormat="false" ht="15" hidden="false" customHeight="true" outlineLevel="0" collapsed="false">
      <c r="B10" s="9" t="s">
        <v>104</v>
      </c>
      <c r="C10" s="27" t="n">
        <f aca="false">SUMIFS('Assets Register'!$G$6:$G$105,'Assets Register'!$C$6:$C$105,"His",'Assets Register'!$D$6:$D$105,"Retirement Accounts")</f>
        <v>215000</v>
      </c>
      <c r="D10" s="27" t="n">
        <f aca="false">SUMIFS('Assets Register'!$G$6:$G$105,'Assets Register'!$C$6:$C$105,"Hers",'Assets Register'!$D$6:$D$105,"Retirement Accounts")</f>
        <v>28400</v>
      </c>
      <c r="E10" s="27" t="n">
        <f aca="false">SUMIFS('Assets Register'!$G$6:$G$105,'Assets Register'!$C$6:$C$105,"Joint",'Assets Register'!$D$6:$D$105,"Retirement Accounts")</f>
        <v>0</v>
      </c>
      <c r="F10" s="31" t="n">
        <f aca="false">SUM(C10:E10)</f>
        <v>243400</v>
      </c>
    </row>
    <row r="11" customFormat="false" ht="15" hidden="false" customHeight="true" outlineLevel="0" collapsed="false">
      <c r="B11" s="9" t="s">
        <v>106</v>
      </c>
      <c r="C11" s="27" t="n">
        <f aca="false">SUMIFS('Assets Register'!$G$6:$G$105,'Assets Register'!$C$6:$C$105,"His",'Assets Register'!$D$6:$D$105,"Real Estate")</f>
        <v>0</v>
      </c>
      <c r="D11" s="27" t="n">
        <f aca="false">SUMIFS('Assets Register'!$G$6:$G$105,'Assets Register'!$C$6:$C$105,"Hers",'Assets Register'!$D$6:$D$105,"Real Estate")</f>
        <v>0</v>
      </c>
      <c r="E11" s="27" t="n">
        <f aca="false">SUMIFS('Assets Register'!$G$6:$G$105,'Assets Register'!$C$6:$C$105,"Joint",'Assets Register'!$D$6:$D$105,"Real Estate")</f>
        <v>525000</v>
      </c>
      <c r="F11" s="31" t="n">
        <f aca="false">SUM(C11:E11)</f>
        <v>525000</v>
      </c>
    </row>
    <row r="12" customFormat="false" ht="15" hidden="false" customHeight="true" outlineLevel="0" collapsed="false">
      <c r="B12" s="9" t="s">
        <v>108</v>
      </c>
      <c r="C12" s="27" t="n">
        <f aca="false">SUMIFS('Assets Register'!$G$6:$G$105,'Assets Register'!$C$6:$C$105,"His",'Assets Register'!$D$6:$D$105,"Vehicles")</f>
        <v>0</v>
      </c>
      <c r="D12" s="27" t="n">
        <f aca="false">SUMIFS('Assets Register'!$G$6:$G$105,'Assets Register'!$C$6:$C$105,"Hers",'Assets Register'!$D$6:$D$105,"Vehicles")</f>
        <v>0</v>
      </c>
      <c r="E12" s="27" t="n">
        <f aca="false">SUMIFS('Assets Register'!$G$6:$G$105,'Assets Register'!$C$6:$C$105,"Joint",'Assets Register'!$D$6:$D$105,"Vehicles")</f>
        <v>32000</v>
      </c>
      <c r="F12" s="31" t="n">
        <f aca="false">SUM(C12:E12)</f>
        <v>32000</v>
      </c>
    </row>
    <row r="13" customFormat="false" ht="15" hidden="false" customHeight="true" outlineLevel="0" collapsed="false">
      <c r="B13" s="9" t="s">
        <v>110</v>
      </c>
      <c r="C13" s="27" t="n">
        <f aca="false">SUMIFS('Assets Register'!$G$6:$G$105,'Assets Register'!$C$6:$C$105,"His",'Assets Register'!$D$6:$D$105,"Businesses Owned")</f>
        <v>300000</v>
      </c>
      <c r="D13" s="27" t="n">
        <f aca="false">SUMIFS('Assets Register'!$G$6:$G$105,'Assets Register'!$C$6:$C$105,"Hers",'Assets Register'!$D$6:$D$105,"Businesses Owned")</f>
        <v>0</v>
      </c>
      <c r="E13" s="27" t="n">
        <f aca="false">SUMIFS('Assets Register'!$G$6:$G$105,'Assets Register'!$C$6:$C$105,"Joint",'Assets Register'!$D$6:$D$105,"Businesses Owned")</f>
        <v>0</v>
      </c>
      <c r="F13" s="31" t="n">
        <f aca="false">SUM(C13:E13)</f>
        <v>300000</v>
      </c>
    </row>
    <row r="14" customFormat="false" ht="15" hidden="false" customHeight="true" outlineLevel="0" collapsed="false">
      <c r="B14" s="9" t="s">
        <v>112</v>
      </c>
      <c r="C14" s="27" t="n">
        <f aca="false">SUMIFS('Assets Register'!$G$6:$G$105,'Assets Register'!$C$6:$C$105,"His",'Assets Register'!$D$6:$D$105,"Other Assets")</f>
        <v>0</v>
      </c>
      <c r="D14" s="27" t="n">
        <f aca="false">SUMIFS('Assets Register'!$G$6:$G$105,'Assets Register'!$C$6:$C$105,"Hers",'Assets Register'!$D$6:$D$105,"Other Assets")</f>
        <v>0</v>
      </c>
      <c r="E14" s="27" t="n">
        <f aca="false">SUMIFS('Assets Register'!$G$6:$G$105,'Assets Register'!$C$6:$C$105,"Joint",'Assets Register'!$D$6:$D$105,"Other Assets")</f>
        <v>0</v>
      </c>
      <c r="F14" s="31" t="n">
        <f aca="false">SUM(C14:E14)</f>
        <v>0</v>
      </c>
    </row>
    <row r="15" customFormat="false" ht="15" hidden="false" customHeight="true" outlineLevel="0" collapsed="false">
      <c r="B15" s="9" t="s">
        <v>422</v>
      </c>
      <c r="C15" s="22" t="n">
        <f aca="false">SUM(C8:C14)</f>
        <v>602500</v>
      </c>
      <c r="D15" s="22" t="n">
        <f aca="false">SUM(D8:D14)</f>
        <v>28400</v>
      </c>
      <c r="E15" s="22" t="n">
        <f aca="false">SUM(E8:E14)</f>
        <v>604400</v>
      </c>
      <c r="F15" s="22" t="n">
        <f aca="false">SUM(F8:F14)</f>
        <v>1235300</v>
      </c>
    </row>
    <row r="17" customFormat="false" ht="21.75" hidden="false" customHeight="true" outlineLevel="0" collapsed="false">
      <c r="B17" s="8" t="s">
        <v>423</v>
      </c>
      <c r="C17" s="8"/>
      <c r="D17" s="8"/>
      <c r="E17" s="8"/>
      <c r="F17" s="8"/>
    </row>
    <row r="18" customFormat="false" ht="15" hidden="false" customHeight="true" outlineLevel="0" collapsed="false">
      <c r="B18" s="9" t="s">
        <v>115</v>
      </c>
      <c r="C18" s="27" t="n">
        <f aca="false">SUMIFS('Liabilities Register'!$F$6:$F$55,'Liabilities Register'!$C$6:$C$55,"His",'Liabilities Register'!$D$6:$D$55,"Credit Cards")</f>
        <v>0</v>
      </c>
      <c r="D18" s="27" t="n">
        <f aca="false">SUMIFS('Liabilities Register'!$F$6:$F$55,'Liabilities Register'!$C$6:$C$55,"Hers",'Liabilities Register'!$D$6:$D$55,"Credit Cards")</f>
        <v>0</v>
      </c>
      <c r="E18" s="27" t="n">
        <f aca="false">SUMIFS('Liabilities Register'!$F$6:$F$55,'Liabilities Register'!$C$6:$C$55,"Joint",'Liabilities Register'!$D$6:$D$55,"Credit Cards")</f>
        <v>2400</v>
      </c>
      <c r="F18" s="31" t="n">
        <f aca="false">SUM(C18:E18)</f>
        <v>2400</v>
      </c>
    </row>
    <row r="19" customFormat="false" ht="15" hidden="false" customHeight="true" outlineLevel="0" collapsed="false">
      <c r="B19" s="9" t="s">
        <v>117</v>
      </c>
      <c r="C19" s="27" t="n">
        <f aca="false">SUMIFS('Liabilities Register'!$F$6:$F$55,'Liabilities Register'!$C$6:$C$55,"His",'Liabilities Register'!$D$6:$D$55,"Personal Loans")</f>
        <v>0</v>
      </c>
      <c r="D19" s="27" t="n">
        <f aca="false">SUMIFS('Liabilities Register'!$F$6:$F$55,'Liabilities Register'!$C$6:$C$55,"Hers",'Liabilities Register'!$D$6:$D$55,"Personal Loans")</f>
        <v>0</v>
      </c>
      <c r="E19" s="27" t="n">
        <f aca="false">SUMIFS('Liabilities Register'!$F$6:$F$55,'Liabilities Register'!$C$6:$C$55,"Joint",'Liabilities Register'!$D$6:$D$55,"Personal Loans")</f>
        <v>0</v>
      </c>
      <c r="F19" s="31" t="n">
        <f aca="false">SUM(C19:E19)</f>
        <v>0</v>
      </c>
    </row>
    <row r="20" customFormat="false" ht="15" hidden="false" customHeight="true" outlineLevel="0" collapsed="false">
      <c r="B20" s="9" t="s">
        <v>119</v>
      </c>
      <c r="C20" s="27" t="n">
        <f aca="false">SUMIFS('Liabilities Register'!$F$6:$F$55,'Liabilities Register'!$C$6:$C$55,"His",'Liabilities Register'!$D$6:$D$55,"Auto Loans")</f>
        <v>0</v>
      </c>
      <c r="D20" s="27" t="n">
        <f aca="false">SUMIFS('Liabilities Register'!$F$6:$F$55,'Liabilities Register'!$C$6:$C$55,"Hers",'Liabilities Register'!$D$6:$D$55,"Auto Loans")</f>
        <v>0</v>
      </c>
      <c r="E20" s="27" t="n">
        <f aca="false">SUMIFS('Liabilities Register'!$F$6:$F$55,'Liabilities Register'!$C$6:$C$55,"Joint",'Liabilities Register'!$D$6:$D$55,"Auto Loans")</f>
        <v>21500</v>
      </c>
      <c r="F20" s="31" t="n">
        <f aca="false">SUM(C20:E20)</f>
        <v>21500</v>
      </c>
    </row>
    <row r="21" customFormat="false" ht="15" hidden="false" customHeight="true" outlineLevel="0" collapsed="false">
      <c r="B21" s="9" t="s">
        <v>121</v>
      </c>
      <c r="C21" s="27" t="n">
        <f aca="false">SUMIFS('Liabilities Register'!$F$6:$F$55,'Liabilities Register'!$C$6:$C$55,"His",'Liabilities Register'!$D$6:$D$55,"Student Loans")</f>
        <v>0</v>
      </c>
      <c r="D21" s="27" t="n">
        <f aca="false">SUMIFS('Liabilities Register'!$F$6:$F$55,'Liabilities Register'!$C$6:$C$55,"Hers",'Liabilities Register'!$D$6:$D$55,"Student Loans")</f>
        <v>0</v>
      </c>
      <c r="E21" s="27" t="n">
        <f aca="false">SUMIFS('Liabilities Register'!$F$6:$F$55,'Liabilities Register'!$C$6:$C$55,"Joint",'Liabilities Register'!$D$6:$D$55,"Student Loans")</f>
        <v>0</v>
      </c>
      <c r="F21" s="31" t="n">
        <f aca="false">SUM(C21:E21)</f>
        <v>0</v>
      </c>
    </row>
    <row r="22" customFormat="false" ht="15" hidden="false" customHeight="true" outlineLevel="0" collapsed="false">
      <c r="B22" s="9" t="s">
        <v>123</v>
      </c>
      <c r="C22" s="27" t="n">
        <f aca="false">SUMIFS('Liabilities Register'!$F$6:$F$55,'Liabilities Register'!$C$6:$C$55,"His",'Liabilities Register'!$D$6:$D$55,"Mortgages")</f>
        <v>0</v>
      </c>
      <c r="D22" s="27" t="n">
        <f aca="false">SUMIFS('Liabilities Register'!$F$6:$F$55,'Liabilities Register'!$C$6:$C$55,"Hers",'Liabilities Register'!$D$6:$D$55,"Mortgages")</f>
        <v>0</v>
      </c>
      <c r="E22" s="27" t="n">
        <f aca="false">SUMIFS('Liabilities Register'!$F$6:$F$55,'Liabilities Register'!$C$6:$C$55,"Joint",'Liabilities Register'!$D$6:$D$55,"Mortgages")</f>
        <v>318500</v>
      </c>
      <c r="F22" s="31" t="n">
        <f aca="false">SUM(C22:E22)</f>
        <v>318500</v>
      </c>
    </row>
    <row r="23" customFormat="false" ht="15" hidden="false" customHeight="true" outlineLevel="0" collapsed="false">
      <c r="B23" s="9" t="s">
        <v>125</v>
      </c>
      <c r="C23" s="27" t="n">
        <f aca="false">SUMIFS('Liabilities Register'!$F$6:$F$55,'Liabilities Register'!$C$6:$C$55,"His",'Liabilities Register'!$D$6:$D$55,"Business Debt")</f>
        <v>0</v>
      </c>
      <c r="D23" s="27" t="n">
        <f aca="false">SUMIFS('Liabilities Register'!$F$6:$F$55,'Liabilities Register'!$C$6:$C$55,"Hers",'Liabilities Register'!$D$6:$D$55,"Business Debt")</f>
        <v>0</v>
      </c>
      <c r="E23" s="27" t="n">
        <f aca="false">SUMIFS('Liabilities Register'!$F$6:$F$55,'Liabilities Register'!$C$6:$C$55,"Joint",'Liabilities Register'!$D$6:$D$55,"Business Debt")</f>
        <v>0</v>
      </c>
      <c r="F23" s="31" t="n">
        <f aca="false">SUM(C23:E23)</f>
        <v>0</v>
      </c>
    </row>
    <row r="24" customFormat="false" ht="15" hidden="false" customHeight="true" outlineLevel="0" collapsed="false">
      <c r="B24" s="9" t="s">
        <v>127</v>
      </c>
      <c r="C24" s="27" t="n">
        <f aca="false">SUMIFS('Liabilities Register'!$F$6:$F$55,'Liabilities Register'!$C$6:$C$55,"His",'Liabilities Register'!$D$6:$D$55,"Other Liabilities")</f>
        <v>0</v>
      </c>
      <c r="D24" s="27" t="n">
        <f aca="false">SUMIFS('Liabilities Register'!$F$6:$F$55,'Liabilities Register'!$C$6:$C$55,"Hers",'Liabilities Register'!$D$6:$D$55,"Other Liabilities")</f>
        <v>0</v>
      </c>
      <c r="E24" s="27" t="n">
        <f aca="false">SUMIFS('Liabilities Register'!$F$6:$F$55,'Liabilities Register'!$C$6:$C$55,"Joint",'Liabilities Register'!$D$6:$D$55,"Other Liabilities")</f>
        <v>0</v>
      </c>
      <c r="F24" s="31" t="n">
        <f aca="false">SUM(C24:E24)</f>
        <v>0</v>
      </c>
    </row>
    <row r="25" customFormat="false" ht="15" hidden="false" customHeight="true" outlineLevel="0" collapsed="false">
      <c r="B25" s="9" t="s">
        <v>424</v>
      </c>
      <c r="C25" s="22" t="n">
        <f aca="false">SUM(C18:C24)</f>
        <v>0</v>
      </c>
      <c r="D25" s="22" t="n">
        <f aca="false">SUM(D18:D24)</f>
        <v>0</v>
      </c>
      <c r="E25" s="22" t="n">
        <f aca="false">SUM(E18:E24)</f>
        <v>342400</v>
      </c>
      <c r="F25" s="22" t="n">
        <f aca="false">SUM(F18:F24)</f>
        <v>342400</v>
      </c>
    </row>
    <row r="27" customFormat="false" ht="21.75" hidden="false" customHeight="true" outlineLevel="0" collapsed="false">
      <c r="B27" s="8" t="s">
        <v>425</v>
      </c>
      <c r="C27" s="8"/>
      <c r="D27" s="8"/>
      <c r="E27" s="8"/>
      <c r="F27" s="8"/>
    </row>
    <row r="28" customFormat="false" ht="15" hidden="false" customHeight="true" outlineLevel="0" collapsed="false">
      <c r="B28" s="9" t="s">
        <v>426</v>
      </c>
      <c r="C28" s="22" t="n">
        <f aca="false">C15-C25</f>
        <v>602500</v>
      </c>
      <c r="D28" s="22" t="n">
        <f aca="false">D15-D25</f>
        <v>28400</v>
      </c>
      <c r="E28" s="22" t="n">
        <f aca="false">E15-E25</f>
        <v>262000</v>
      </c>
      <c r="F28" s="22" t="n">
        <f aca="false">F15-F25</f>
        <v>892900</v>
      </c>
    </row>
  </sheetData>
  <mergeCells count="5">
    <mergeCell ref="B2:F2"/>
    <mergeCell ref="B3:F3"/>
    <mergeCell ref="B7:F7"/>
    <mergeCell ref="B17:F17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8"/>
    <col collapsed="false" customWidth="true" hidden="false" outlineLevel="0" max="6" min="6" style="1" width="50"/>
  </cols>
  <sheetData>
    <row r="2" customFormat="false" ht="30" hidden="false" customHeight="true" outlineLevel="0" collapsed="false">
      <c r="B2" s="6" t="s">
        <v>427</v>
      </c>
      <c r="C2" s="6"/>
      <c r="D2" s="6"/>
      <c r="E2" s="6"/>
      <c r="F2" s="6"/>
    </row>
    <row r="3" customFormat="false" ht="19.5" hidden="false" customHeight="true" outlineLevel="0" collapsed="false">
      <c r="B3" s="7" t="s">
        <v>428</v>
      </c>
      <c r="C3" s="7"/>
      <c r="D3" s="7"/>
      <c r="E3" s="7"/>
      <c r="F3" s="7"/>
    </row>
    <row r="5" customFormat="false" ht="21.75" hidden="false" customHeight="true" outlineLevel="0" collapsed="false">
      <c r="B5" s="8" t="s">
        <v>429</v>
      </c>
      <c r="C5" s="8"/>
      <c r="D5" s="8"/>
      <c r="E5" s="8"/>
      <c r="F5" s="8"/>
    </row>
    <row r="6" customFormat="false" ht="15" hidden="false" customHeight="true" outlineLevel="0" collapsed="false">
      <c r="C6" s="14" t="s">
        <v>138</v>
      </c>
      <c r="D6" s="14" t="s">
        <v>141</v>
      </c>
      <c r="E6" s="14" t="s">
        <v>56</v>
      </c>
      <c r="F6" s="14" t="s">
        <v>390</v>
      </c>
    </row>
    <row r="7" customFormat="false" ht="15" hidden="false" customHeight="true" outlineLevel="0" collapsed="false">
      <c r="B7" s="9" t="s">
        <v>430</v>
      </c>
      <c r="C7" s="27" t="n">
        <f aca="false">'Income Statement'!C15</f>
        <v>13000</v>
      </c>
      <c r="D7" s="27" t="n">
        <f aca="false">'Income Statement'!D15</f>
        <v>2850</v>
      </c>
      <c r="E7" s="27" t="n">
        <f aca="false">'Income Statement'!E15</f>
        <v>1200</v>
      </c>
      <c r="F7" s="27" t="n">
        <f aca="false">'Income Statement'!F15</f>
        <v>17050</v>
      </c>
    </row>
    <row r="8" customFormat="false" ht="15" hidden="false" customHeight="true" outlineLevel="0" collapsed="false">
      <c r="B8" s="9" t="s">
        <v>431</v>
      </c>
      <c r="C8" s="27" t="n">
        <f aca="false">'Income Statement'!C33</f>
        <v>557</v>
      </c>
      <c r="D8" s="27" t="n">
        <f aca="false">'Income Statement'!D33</f>
        <v>493.63</v>
      </c>
      <c r="E8" s="27" t="n">
        <f aca="false">'Income Statement'!E33</f>
        <v>4768.99</v>
      </c>
      <c r="F8" s="27" t="n">
        <f aca="false">'Income Statement'!F33</f>
        <v>5819.62</v>
      </c>
    </row>
    <row r="9" customFormat="false" ht="15" hidden="false" customHeight="true" outlineLevel="0" collapsed="false">
      <c r="B9" s="9" t="s">
        <v>432</v>
      </c>
      <c r="C9" s="27" t="n">
        <f aca="false">'Income Statement'!C35</f>
        <v>12443</v>
      </c>
      <c r="D9" s="27" t="n">
        <f aca="false">'Income Statement'!D35</f>
        <v>2356.37</v>
      </c>
      <c r="E9" s="27" t="n">
        <f aca="false">'Income Statement'!E35</f>
        <v>-3568.99</v>
      </c>
      <c r="F9" s="27" t="n">
        <f aca="false">'Income Statement'!F35</f>
        <v>11230.38</v>
      </c>
    </row>
    <row r="10" customFormat="false" ht="15" hidden="false" customHeight="true" outlineLevel="0" collapsed="false">
      <c r="B10" s="9" t="s">
        <v>433</v>
      </c>
      <c r="C10" s="27" t="n">
        <f aca="false">'Balance Sheet'!C28</f>
        <v>602500</v>
      </c>
      <c r="D10" s="27" t="n">
        <f aca="false">'Balance Sheet'!D28</f>
        <v>28400</v>
      </c>
      <c r="E10" s="27" t="n">
        <f aca="false">'Balance Sheet'!E28</f>
        <v>262000</v>
      </c>
      <c r="F10" s="27" t="n">
        <f aca="false">'Balance Sheet'!F28</f>
        <v>892900</v>
      </c>
    </row>
    <row r="12" customFormat="false" ht="21.75" hidden="false" customHeight="true" outlineLevel="0" collapsed="false">
      <c r="B12" s="8" t="s">
        <v>434</v>
      </c>
      <c r="C12" s="8"/>
      <c r="D12" s="8"/>
      <c r="E12" s="8"/>
      <c r="F12" s="8"/>
    </row>
    <row r="13" customFormat="false" ht="15" hidden="false" customHeight="true" outlineLevel="0" collapsed="false">
      <c r="B13" s="9" t="s">
        <v>435</v>
      </c>
      <c r="C13" s="27" t="n">
        <f aca="false">'Vision His'!C62</f>
        <v>20316.6666666667</v>
      </c>
      <c r="D13" s="27" t="n">
        <f aca="false">'Vision Hers'!C62</f>
        <v>13625</v>
      </c>
      <c r="E13" s="27" t="n">
        <f aca="false">'Vision Joint'!C58</f>
        <v>16325</v>
      </c>
      <c r="F13" s="31" t="n">
        <f aca="false">SUM(C13:E13)</f>
        <v>50266.6666666667</v>
      </c>
    </row>
    <row r="14" customFormat="false" ht="15" hidden="false" customHeight="true" outlineLevel="0" collapsed="false">
      <c r="B14" s="9" t="s">
        <v>436</v>
      </c>
      <c r="C14" s="27" t="n">
        <f aca="false">'Vision His'!C63</f>
        <v>243800</v>
      </c>
      <c r="D14" s="27" t="n">
        <f aca="false">'Vision Hers'!C63</f>
        <v>163500</v>
      </c>
      <c r="E14" s="27" t="n">
        <f aca="false">'Vision Joint'!C59</f>
        <v>195900</v>
      </c>
      <c r="F14" s="31" t="n">
        <f aca="false">SUM(C14:E14)</f>
        <v>603200</v>
      </c>
    </row>
    <row r="16" customFormat="false" ht="21.75" hidden="false" customHeight="true" outlineLevel="0" collapsed="false">
      <c r="B16" s="8" t="s">
        <v>427</v>
      </c>
      <c r="C16" s="8"/>
      <c r="D16" s="8"/>
      <c r="E16" s="8"/>
      <c r="F16" s="8"/>
    </row>
    <row r="17" customFormat="false" ht="15" hidden="false" customHeight="true" outlineLevel="0" collapsed="false">
      <c r="B17" s="9" t="s">
        <v>437</v>
      </c>
      <c r="F17" s="22" t="n">
        <f aca="false">F7</f>
        <v>17050</v>
      </c>
    </row>
    <row r="18" customFormat="false" ht="15" hidden="false" customHeight="true" outlineLevel="0" collapsed="false">
      <c r="B18" s="9" t="s">
        <v>438</v>
      </c>
      <c r="F18" s="22" t="n">
        <f aca="false">F14</f>
        <v>603200</v>
      </c>
    </row>
    <row r="19" customFormat="false" ht="15" hidden="false" customHeight="true" outlineLevel="0" collapsed="false">
      <c r="B19" s="9" t="s">
        <v>439</v>
      </c>
      <c r="F19" s="22" t="n">
        <f aca="false">F18-F17</f>
        <v>586150</v>
      </c>
    </row>
    <row r="20" customFormat="false" ht="15" hidden="false" customHeight="true" outlineLevel="0" collapsed="false">
      <c r="B20" s="9" t="s">
        <v>440</v>
      </c>
      <c r="F20" s="22" t="n">
        <f aca="false">F18/12</f>
        <v>50266.6666666667</v>
      </c>
    </row>
    <row r="22" customFormat="false" ht="21.75" hidden="false" customHeight="true" outlineLevel="0" collapsed="false">
      <c r="B22" s="8" t="s">
        <v>441</v>
      </c>
      <c r="C22" s="8"/>
      <c r="D22" s="8"/>
      <c r="E22" s="8"/>
      <c r="F22" s="8"/>
    </row>
    <row r="23" customFormat="false" ht="24" hidden="false" customHeight="true" outlineLevel="0" collapsed="false">
      <c r="B23" s="35" t="s">
        <v>442</v>
      </c>
      <c r="C23" s="35"/>
      <c r="D23" s="35"/>
      <c r="E23" s="35"/>
      <c r="F23" s="35"/>
    </row>
    <row r="24" customFormat="false" ht="21.75" hidden="false" customHeight="true" outlineLevel="0" collapsed="false">
      <c r="B24" s="36" t="s">
        <v>443</v>
      </c>
      <c r="C24" s="36"/>
      <c r="D24" s="36"/>
      <c r="E24" s="36"/>
      <c r="F24" s="36"/>
    </row>
    <row r="25" customFormat="false" ht="24" hidden="false" customHeight="true" outlineLevel="0" collapsed="false">
      <c r="B25" s="35" t="s">
        <v>444</v>
      </c>
      <c r="C25" s="35"/>
      <c r="D25" s="35"/>
      <c r="E25" s="35"/>
      <c r="F25" s="35"/>
    </row>
    <row r="26" customFormat="false" ht="21.75" hidden="false" customHeight="true" outlineLevel="0" collapsed="false">
      <c r="B26" s="36" t="s">
        <v>445</v>
      </c>
      <c r="C26" s="36"/>
      <c r="D26" s="36"/>
      <c r="E26" s="36"/>
      <c r="F26" s="36"/>
    </row>
    <row r="27" customFormat="false" ht="24" hidden="false" customHeight="true" outlineLevel="0" collapsed="false">
      <c r="B27" s="35" t="s">
        <v>446</v>
      </c>
      <c r="C27" s="35"/>
      <c r="D27" s="35"/>
      <c r="E27" s="35"/>
      <c r="F27" s="35"/>
    </row>
    <row r="28" customFormat="false" ht="21.75" hidden="false" customHeight="true" outlineLevel="0" collapsed="false">
      <c r="B28" s="36" t="s">
        <v>447</v>
      </c>
      <c r="C28" s="36"/>
      <c r="D28" s="36"/>
      <c r="E28" s="36"/>
      <c r="F28" s="36"/>
    </row>
    <row r="29" customFormat="false" ht="24" hidden="false" customHeight="true" outlineLevel="0" collapsed="false">
      <c r="B29" s="35" t="s">
        <v>448</v>
      </c>
      <c r="C29" s="35"/>
      <c r="D29" s="35"/>
      <c r="E29" s="35"/>
      <c r="F29" s="35"/>
    </row>
    <row r="30" customFormat="false" ht="21.75" hidden="false" customHeight="true" outlineLevel="0" collapsed="false">
      <c r="B30" s="36" t="s">
        <v>449</v>
      </c>
      <c r="C30" s="36"/>
      <c r="D30" s="36"/>
      <c r="E30" s="36"/>
      <c r="F30" s="36"/>
    </row>
  </sheetData>
  <mergeCells count="14">
    <mergeCell ref="B2:F2"/>
    <mergeCell ref="B3:F3"/>
    <mergeCell ref="B5:F5"/>
    <mergeCell ref="B12:F12"/>
    <mergeCell ref="B16:F16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5" min="2" style="1" width="25"/>
  </cols>
  <sheetData>
    <row r="2" customFormat="false" ht="30" hidden="false" customHeight="true" outlineLevel="0" collapsed="false">
      <c r="B2" s="6" t="s">
        <v>450</v>
      </c>
      <c r="C2" s="6"/>
      <c r="D2" s="6"/>
      <c r="E2" s="6"/>
    </row>
    <row r="3" customFormat="false" ht="19.5" hidden="false" customHeight="true" outlineLevel="0" collapsed="false">
      <c r="B3" s="7" t="s">
        <v>451</v>
      </c>
      <c r="C3" s="7"/>
      <c r="D3" s="7"/>
      <c r="E3" s="7"/>
    </row>
    <row r="5" customFormat="false" ht="15" hidden="false" customHeight="true" outlineLevel="0" collapsed="false">
      <c r="B5" s="4" t="s">
        <v>452</v>
      </c>
      <c r="C5" s="4" t="s">
        <v>50</v>
      </c>
      <c r="D5" s="4" t="s">
        <v>69</v>
      </c>
      <c r="E5" s="4" t="s">
        <v>453</v>
      </c>
    </row>
    <row r="6" customFormat="false" ht="15" hidden="false" customHeight="true" outlineLevel="0" collapsed="false">
      <c r="B6" s="37" t="s">
        <v>138</v>
      </c>
      <c r="C6" s="38" t="s">
        <v>54</v>
      </c>
      <c r="D6" s="38" t="s">
        <v>70</v>
      </c>
      <c r="E6" s="38" t="s">
        <v>454</v>
      </c>
    </row>
    <row r="7" customFormat="false" ht="15" hidden="false" customHeight="true" outlineLevel="0" collapsed="false">
      <c r="B7" s="37" t="s">
        <v>141</v>
      </c>
      <c r="C7" s="38" t="s">
        <v>57</v>
      </c>
      <c r="D7" s="38" t="s">
        <v>72</v>
      </c>
      <c r="E7" s="38" t="s">
        <v>455</v>
      </c>
    </row>
    <row r="8" customFormat="false" ht="15" hidden="false" customHeight="true" outlineLevel="0" collapsed="false">
      <c r="B8" s="37" t="s">
        <v>56</v>
      </c>
      <c r="C8" s="38" t="s">
        <v>59</v>
      </c>
      <c r="D8" s="38" t="s">
        <v>74</v>
      </c>
      <c r="E8" s="38" t="s">
        <v>156</v>
      </c>
    </row>
    <row r="9" customFormat="false" ht="15" hidden="false" customHeight="true" outlineLevel="0" collapsed="false">
      <c r="C9" s="38" t="s">
        <v>61</v>
      </c>
      <c r="D9" s="38" t="s">
        <v>76</v>
      </c>
      <c r="E9" s="38" t="s">
        <v>169</v>
      </c>
    </row>
    <row r="10" customFormat="false" ht="15" hidden="false" customHeight="true" outlineLevel="0" collapsed="false">
      <c r="C10" s="38" t="s">
        <v>63</v>
      </c>
      <c r="D10" s="38" t="s">
        <v>78</v>
      </c>
      <c r="E10" s="38" t="s">
        <v>456</v>
      </c>
    </row>
    <row r="11" customFormat="false" ht="15" hidden="false" customHeight="true" outlineLevel="0" collapsed="false">
      <c r="C11" s="38" t="s">
        <v>65</v>
      </c>
      <c r="D11" s="38" t="s">
        <v>80</v>
      </c>
      <c r="E11" s="38" t="s">
        <v>153</v>
      </c>
    </row>
    <row r="12" customFormat="false" ht="15" hidden="false" customHeight="true" outlineLevel="0" collapsed="false">
      <c r="C12" s="38" t="s">
        <v>67</v>
      </c>
      <c r="D12" s="38" t="s">
        <v>82</v>
      </c>
      <c r="E12" s="38" t="s">
        <v>457</v>
      </c>
    </row>
    <row r="13" customFormat="false" ht="15" hidden="false" customHeight="true" outlineLevel="0" collapsed="false">
      <c r="D13" s="38" t="s">
        <v>84</v>
      </c>
    </row>
    <row r="14" customFormat="false" ht="15" hidden="false" customHeight="true" outlineLevel="0" collapsed="false">
      <c r="D14" s="38" t="s">
        <v>86</v>
      </c>
    </row>
    <row r="15" customFormat="false" ht="15" hidden="false" customHeight="true" outlineLevel="0" collapsed="false">
      <c r="D15" s="38" t="s">
        <v>88</v>
      </c>
    </row>
    <row r="16" customFormat="false" ht="15" hidden="false" customHeight="true" outlineLevel="0" collapsed="false">
      <c r="D16" s="38" t="s">
        <v>90</v>
      </c>
    </row>
    <row r="17" customFormat="false" ht="15" hidden="false" customHeight="true" outlineLevel="0" collapsed="false">
      <c r="D17" s="38" t="s">
        <v>92</v>
      </c>
    </row>
    <row r="18" customFormat="false" ht="15" hidden="false" customHeight="true" outlineLevel="0" collapsed="false">
      <c r="D18" s="38" t="s">
        <v>94</v>
      </c>
    </row>
    <row r="19" customFormat="false" ht="15" hidden="false" customHeight="true" outlineLevel="0" collapsed="false">
      <c r="D19" s="38" t="s">
        <v>96</v>
      </c>
    </row>
    <row r="20" customFormat="false" ht="15" hidden="false" customHeight="true" outlineLevel="0" collapsed="false">
      <c r="D20" s="38" t="s">
        <v>98</v>
      </c>
    </row>
    <row r="23" customFormat="false" ht="15" hidden="false" customHeight="true" outlineLevel="0" collapsed="false">
      <c r="B23" s="4" t="s">
        <v>99</v>
      </c>
      <c r="C23" s="4" t="s">
        <v>114</v>
      </c>
      <c r="D23" s="4" t="s">
        <v>458</v>
      </c>
    </row>
    <row r="24" customFormat="false" ht="15" hidden="false" customHeight="true" outlineLevel="0" collapsed="false">
      <c r="B24" s="38" t="s">
        <v>100</v>
      </c>
      <c r="C24" s="38" t="s">
        <v>115</v>
      </c>
      <c r="D24" s="17" t="n">
        <v>2026</v>
      </c>
    </row>
    <row r="25" customFormat="false" ht="15" hidden="false" customHeight="true" outlineLevel="0" collapsed="false">
      <c r="B25" s="38" t="s">
        <v>102</v>
      </c>
      <c r="C25" s="38" t="s">
        <v>117</v>
      </c>
    </row>
    <row r="26" customFormat="false" ht="15" hidden="false" customHeight="true" outlineLevel="0" collapsed="false">
      <c r="B26" s="38" t="s">
        <v>104</v>
      </c>
      <c r="C26" s="38" t="s">
        <v>119</v>
      </c>
    </row>
    <row r="27" customFormat="false" ht="15" hidden="false" customHeight="true" outlineLevel="0" collapsed="false">
      <c r="B27" s="38" t="s">
        <v>106</v>
      </c>
      <c r="C27" s="38" t="s">
        <v>121</v>
      </c>
    </row>
    <row r="28" customFormat="false" ht="15" hidden="false" customHeight="true" outlineLevel="0" collapsed="false">
      <c r="B28" s="38" t="s">
        <v>108</v>
      </c>
      <c r="C28" s="38" t="s">
        <v>123</v>
      </c>
    </row>
    <row r="29" customFormat="false" ht="15" hidden="false" customHeight="true" outlineLevel="0" collapsed="false">
      <c r="B29" s="38" t="s">
        <v>110</v>
      </c>
      <c r="C29" s="38" t="s">
        <v>125</v>
      </c>
    </row>
    <row r="30" customFormat="false" ht="15" hidden="false" customHeight="true" outlineLevel="0" collapsed="false">
      <c r="B30" s="38" t="s">
        <v>112</v>
      </c>
      <c r="C30" s="38" t="s">
        <v>127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16"/>
  </cols>
  <sheetData>
    <row r="1" customFormat="false" ht="24" hidden="false" customHeight="true" outlineLevel="0" collapsed="false">
      <c r="A1" s="39" t="s">
        <v>459</v>
      </c>
      <c r="B1" s="39"/>
      <c r="C1" s="39"/>
      <c r="D1" s="39"/>
    </row>
    <row r="2" customFormat="false" ht="31.5" hidden="false" customHeight="true" outlineLevel="0" collapsed="false">
      <c r="A2" s="40" t="s">
        <v>460</v>
      </c>
      <c r="B2" s="40"/>
      <c r="C2" s="40"/>
      <c r="D2" s="40"/>
    </row>
    <row r="4" customFormat="false" ht="21.75" hidden="false" customHeight="true" outlineLevel="0" collapsed="false">
      <c r="A4" s="41" t="s">
        <v>461</v>
      </c>
      <c r="B4" s="41" t="s">
        <v>462</v>
      </c>
      <c r="C4" s="41" t="s">
        <v>463</v>
      </c>
      <c r="D4" s="41" t="s">
        <v>464</v>
      </c>
    </row>
    <row r="5" customFormat="false" ht="15" hidden="false" customHeight="true" outlineLevel="0" collapsed="false">
      <c r="A5" s="42" t="s">
        <v>465</v>
      </c>
      <c r="B5" s="42" t="s">
        <v>466</v>
      </c>
      <c r="C5" s="42" t="s">
        <v>467</v>
      </c>
      <c r="D5" s="42" t="s">
        <v>468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39" t="s">
        <v>469</v>
      </c>
      <c r="B1" s="39"/>
      <c r="C1" s="39"/>
    </row>
    <row r="2" customFormat="false" ht="31.5" hidden="false" customHeight="true" outlineLevel="0" collapsed="false">
      <c r="A2" s="40" t="s">
        <v>470</v>
      </c>
      <c r="B2" s="40"/>
      <c r="C2" s="40"/>
    </row>
    <row r="4" customFormat="false" ht="21.75" hidden="false" customHeight="true" outlineLevel="0" collapsed="false">
      <c r="A4" s="41" t="s">
        <v>471</v>
      </c>
      <c r="B4" s="43" t="s">
        <v>472</v>
      </c>
      <c r="C4" s="41" t="s">
        <v>473</v>
      </c>
    </row>
    <row r="5" customFormat="false" ht="15" hidden="false" customHeight="false" outlineLevel="0" collapsed="false">
      <c r="A5" s="44" t="s">
        <v>474</v>
      </c>
      <c r="B5" s="45"/>
      <c r="C5" s="46" t="s">
        <v>475</v>
      </c>
    </row>
    <row r="6" customFormat="false" ht="15" hidden="false" customHeight="false" outlineLevel="0" collapsed="false">
      <c r="A6" s="47" t="s">
        <v>476</v>
      </c>
      <c r="B6" s="48" t="s">
        <v>477</v>
      </c>
      <c r="C6" s="49" t="s">
        <v>478</v>
      </c>
    </row>
    <row r="7" customFormat="false" ht="15" hidden="false" customHeight="false" outlineLevel="0" collapsed="false">
      <c r="A7" s="47" t="s">
        <v>479</v>
      </c>
      <c r="B7" s="50" t="str">
        <f aca="true">TEXT(NOW(),"yyyy-mm-dd hh:mm")</f>
        <v>2026-04-28 20:44</v>
      </c>
      <c r="C7" s="49" t="s">
        <v>480</v>
      </c>
    </row>
    <row r="8" customFormat="false" ht="15" hidden="false" customHeight="false" outlineLevel="0" collapsed="false">
      <c r="A8" s="44" t="s">
        <v>481</v>
      </c>
      <c r="B8" s="45"/>
      <c r="C8" s="46" t="s">
        <v>482</v>
      </c>
    </row>
    <row r="9" customFormat="false" ht="15" hidden="false" customHeight="false" outlineLevel="0" collapsed="false">
      <c r="A9" s="47" t="s">
        <v>483</v>
      </c>
      <c r="B9" s="50" t="str">
        <f aca="false">'Setup &amp; Profiles'!C15</f>
        <v>The Oehlmans</v>
      </c>
      <c r="C9" s="49"/>
    </row>
    <row r="10" customFormat="false" ht="15" hidden="false" customHeight="false" outlineLevel="0" collapsed="false">
      <c r="A10" s="47" t="s">
        <v>484</v>
      </c>
      <c r="B10" s="50" t="str">
        <f aca="false">'Setup &amp; Profiles'!C9</f>
        <v>USA</v>
      </c>
      <c r="C10" s="49"/>
    </row>
    <row r="11" customFormat="false" ht="15" hidden="false" customHeight="false" outlineLevel="0" collapsed="false">
      <c r="A11" s="47" t="s">
        <v>485</v>
      </c>
      <c r="B11" s="50" t="str">
        <f aca="false">'Setup &amp; Profiles'!C10</f>
        <v>USD</v>
      </c>
      <c r="C11" s="49"/>
    </row>
    <row r="12" customFormat="false" ht="15" hidden="false" customHeight="false" outlineLevel="0" collapsed="false">
      <c r="A12" s="47" t="s">
        <v>486</v>
      </c>
      <c r="B12" s="50" t="str">
        <f aca="false">'Setup &amp; Profiles'!C11</f>
        <v>Married Filing Jointly</v>
      </c>
      <c r="C12" s="49"/>
    </row>
    <row r="13" customFormat="false" ht="15" hidden="false" customHeight="false" outlineLevel="0" collapsed="false">
      <c r="A13" s="44" t="s">
        <v>487</v>
      </c>
      <c r="B13" s="45"/>
      <c r="C13" s="46" t="s">
        <v>488</v>
      </c>
    </row>
    <row r="14" customFormat="false" ht="15" hidden="false" customHeight="false" outlineLevel="0" collapsed="false">
      <c r="A14" s="47" t="s">
        <v>489</v>
      </c>
      <c r="B14" s="50" t="str">
        <f aca="false">'Setup &amp; Profiles'!C6</f>
        <v>Zach</v>
      </c>
      <c r="C14" s="49"/>
    </row>
    <row r="15" customFormat="false" ht="15" hidden="false" customHeight="false" outlineLevel="0" collapsed="false">
      <c r="A15" s="47" t="s">
        <v>490</v>
      </c>
      <c r="B15" s="51" t="n">
        <f aca="false">'Setup &amp; Profiles'!C7</f>
        <v>40</v>
      </c>
      <c r="C15" s="49"/>
    </row>
    <row r="16" customFormat="false" ht="15" hidden="false" customHeight="false" outlineLevel="0" collapsed="false">
      <c r="A16" s="47" t="s">
        <v>491</v>
      </c>
      <c r="B16" s="50" t="str">
        <f aca="false">'Setup &amp; Profiles'!C8</f>
        <v>Founder, Learn And Grow Rich</v>
      </c>
      <c r="C16" s="49"/>
    </row>
    <row r="17" customFormat="false" ht="15" hidden="false" customHeight="false" outlineLevel="0" collapsed="false">
      <c r="A17" s="44" t="s">
        <v>492</v>
      </c>
      <c r="B17" s="45"/>
      <c r="C17" s="46" t="s">
        <v>493</v>
      </c>
    </row>
    <row r="18" customFormat="false" ht="15" hidden="false" customHeight="false" outlineLevel="0" collapsed="false">
      <c r="A18" s="47" t="s">
        <v>494</v>
      </c>
      <c r="B18" s="50" t="str">
        <f aca="false">'Setup &amp; Profiles'!F6</f>
        <v>Sumary</v>
      </c>
      <c r="C18" s="49"/>
    </row>
    <row r="19" customFormat="false" ht="15" hidden="false" customHeight="false" outlineLevel="0" collapsed="false">
      <c r="A19" s="47" t="s">
        <v>495</v>
      </c>
      <c r="B19" s="51" t="n">
        <f aca="false">'Setup &amp; Profiles'!F7</f>
        <v>38</v>
      </c>
      <c r="C19" s="49"/>
    </row>
    <row r="20" customFormat="false" ht="15" hidden="false" customHeight="false" outlineLevel="0" collapsed="false">
      <c r="A20" s="47" t="s">
        <v>496</v>
      </c>
      <c r="B20" s="50" t="str">
        <f aca="false">'Setup &amp; Profiles'!F8</f>
        <v>Co-creator</v>
      </c>
      <c r="C20" s="49"/>
    </row>
    <row r="21" customFormat="false" ht="15" hidden="false" customHeight="false" outlineLevel="0" collapsed="false">
      <c r="A21" s="44" t="s">
        <v>497</v>
      </c>
      <c r="B21" s="45"/>
      <c r="C21" s="46" t="s">
        <v>498</v>
      </c>
    </row>
    <row r="22" customFormat="false" ht="15" hidden="false" customHeight="false" outlineLevel="0" collapsed="false">
      <c r="A22" s="47" t="s">
        <v>499</v>
      </c>
      <c r="B22" s="52" t="n">
        <f aca="false">'The Gap'!C13</f>
        <v>20316.6666666667</v>
      </c>
      <c r="C22" s="49"/>
    </row>
    <row r="23" customFormat="false" ht="15" hidden="false" customHeight="false" outlineLevel="0" collapsed="false">
      <c r="A23" s="47" t="s">
        <v>500</v>
      </c>
      <c r="B23" s="52" t="n">
        <f aca="false">'The Gap'!C14</f>
        <v>243800</v>
      </c>
      <c r="C23" s="49"/>
    </row>
    <row r="24" customFormat="false" ht="15" hidden="false" customHeight="false" outlineLevel="0" collapsed="false">
      <c r="A24" s="47" t="s">
        <v>501</v>
      </c>
      <c r="B24" s="52" t="n">
        <f aca="false">'The Gap'!D13</f>
        <v>13625</v>
      </c>
      <c r="C24" s="49"/>
    </row>
    <row r="25" customFormat="false" ht="15" hidden="false" customHeight="false" outlineLevel="0" collapsed="false">
      <c r="A25" s="47" t="s">
        <v>502</v>
      </c>
      <c r="B25" s="52" t="n">
        <f aca="false">'The Gap'!D14</f>
        <v>163500</v>
      </c>
      <c r="C25" s="49"/>
    </row>
    <row r="26" customFormat="false" ht="15" hidden="false" customHeight="false" outlineLevel="0" collapsed="false">
      <c r="A26" s="47" t="s">
        <v>503</v>
      </c>
      <c r="B26" s="52" t="n">
        <f aca="false">'The Gap'!E13</f>
        <v>16325</v>
      </c>
      <c r="C26" s="49"/>
    </row>
    <row r="27" customFormat="false" ht="15" hidden="false" customHeight="false" outlineLevel="0" collapsed="false">
      <c r="A27" s="47" t="s">
        <v>504</v>
      </c>
      <c r="B27" s="52" t="n">
        <f aca="false">'The Gap'!E14</f>
        <v>195900</v>
      </c>
      <c r="C27" s="49"/>
    </row>
    <row r="28" customFormat="false" ht="15" hidden="false" customHeight="false" outlineLevel="0" collapsed="false">
      <c r="A28" s="47" t="s">
        <v>505</v>
      </c>
      <c r="B28" s="52" t="n">
        <f aca="false">'The Gap'!F13</f>
        <v>50266.6666666667</v>
      </c>
      <c r="C28" s="49"/>
    </row>
    <row r="29" customFormat="false" ht="15" hidden="false" customHeight="false" outlineLevel="0" collapsed="false">
      <c r="A29" s="47" t="s">
        <v>506</v>
      </c>
      <c r="B29" s="52" t="n">
        <f aca="false">'The Gap'!F14</f>
        <v>603200</v>
      </c>
      <c r="C29" s="49" t="s">
        <v>507</v>
      </c>
    </row>
    <row r="30" customFormat="false" ht="15" hidden="false" customHeight="false" outlineLevel="0" collapsed="false">
      <c r="A30" s="44" t="s">
        <v>508</v>
      </c>
      <c r="B30" s="45"/>
      <c r="C30" s="46" t="s">
        <v>509</v>
      </c>
    </row>
    <row r="31" customFormat="false" ht="15" hidden="false" customHeight="false" outlineLevel="0" collapsed="false">
      <c r="A31" s="47" t="s">
        <v>510</v>
      </c>
      <c r="B31" s="52" t="n">
        <f aca="false">'The Gap'!F7</f>
        <v>17050</v>
      </c>
      <c r="C31" s="49" t="s">
        <v>511</v>
      </c>
    </row>
    <row r="32" customFormat="false" ht="15" hidden="false" customHeight="false" outlineLevel="0" collapsed="false">
      <c r="A32" s="47" t="s">
        <v>512</v>
      </c>
      <c r="B32" s="52" t="n">
        <f aca="false">'The Gap'!F8</f>
        <v>5819.62</v>
      </c>
      <c r="C32" s="49" t="s">
        <v>513</v>
      </c>
    </row>
    <row r="33" customFormat="false" ht="15" hidden="false" customHeight="false" outlineLevel="0" collapsed="false">
      <c r="A33" s="47" t="s">
        <v>514</v>
      </c>
      <c r="B33" s="52" t="n">
        <f aca="false">'The Gap'!F9</f>
        <v>11230.38</v>
      </c>
      <c r="C33" s="49" t="s">
        <v>515</v>
      </c>
    </row>
    <row r="34" customFormat="false" ht="15" hidden="false" customHeight="false" outlineLevel="0" collapsed="false">
      <c r="A34" s="47" t="s">
        <v>516</v>
      </c>
      <c r="B34" s="52" t="n">
        <f aca="false">'The Gap'!C7</f>
        <v>13000</v>
      </c>
      <c r="C34" s="49"/>
    </row>
    <row r="35" customFormat="false" ht="15" hidden="false" customHeight="false" outlineLevel="0" collapsed="false">
      <c r="A35" s="47" t="s">
        <v>517</v>
      </c>
      <c r="B35" s="52" t="n">
        <f aca="false">'The Gap'!D7</f>
        <v>2850</v>
      </c>
      <c r="C35" s="49"/>
    </row>
    <row r="36" customFormat="false" ht="15" hidden="false" customHeight="false" outlineLevel="0" collapsed="false">
      <c r="A36" s="47" t="s">
        <v>518</v>
      </c>
      <c r="B36" s="52" t="n">
        <f aca="false">'The Gap'!E7</f>
        <v>1200</v>
      </c>
      <c r="C36" s="49"/>
    </row>
    <row r="37" customFormat="false" ht="15" hidden="false" customHeight="false" outlineLevel="0" collapsed="false">
      <c r="A37" s="44" t="s">
        <v>519</v>
      </c>
      <c r="B37" s="45"/>
      <c r="C37" s="46" t="s">
        <v>520</v>
      </c>
    </row>
    <row r="38" customFormat="false" ht="15" hidden="false" customHeight="false" outlineLevel="0" collapsed="false">
      <c r="A38" s="47" t="s">
        <v>521</v>
      </c>
      <c r="B38" s="52" t="n">
        <f aca="false">'Balance Sheet'!F15</f>
        <v>1235300</v>
      </c>
      <c r="C38" s="49"/>
    </row>
    <row r="39" customFormat="false" ht="15" hidden="false" customHeight="false" outlineLevel="0" collapsed="false">
      <c r="A39" s="47" t="s">
        <v>522</v>
      </c>
      <c r="B39" s="52" t="n">
        <f aca="false">'Balance Sheet'!F25</f>
        <v>342400</v>
      </c>
      <c r="C39" s="49"/>
    </row>
    <row r="40" customFormat="false" ht="15" hidden="false" customHeight="false" outlineLevel="0" collapsed="false">
      <c r="A40" s="47" t="s">
        <v>523</v>
      </c>
      <c r="B40" s="52" t="n">
        <f aca="false">'Balance Sheet'!F28</f>
        <v>892900</v>
      </c>
      <c r="C40" s="49"/>
    </row>
    <row r="41" customFormat="false" ht="15" hidden="false" customHeight="false" outlineLevel="0" collapsed="false">
      <c r="A41" s="47" t="s">
        <v>524</v>
      </c>
      <c r="B41" s="52" t="n">
        <f aca="false">'Balance Sheet'!C28</f>
        <v>602500</v>
      </c>
      <c r="C41" s="49"/>
    </row>
    <row r="42" customFormat="false" ht="15" hidden="false" customHeight="false" outlineLevel="0" collapsed="false">
      <c r="A42" s="47" t="s">
        <v>525</v>
      </c>
      <c r="B42" s="52" t="n">
        <f aca="false">'Balance Sheet'!D28</f>
        <v>28400</v>
      </c>
      <c r="C42" s="49"/>
    </row>
    <row r="43" customFormat="false" ht="15" hidden="false" customHeight="false" outlineLevel="0" collapsed="false">
      <c r="A43" s="47" t="s">
        <v>526</v>
      </c>
      <c r="B43" s="52" t="n">
        <f aca="false">'Balance Sheet'!E28</f>
        <v>262000</v>
      </c>
      <c r="C43" s="49"/>
    </row>
    <row r="44" customFormat="false" ht="15" hidden="false" customHeight="false" outlineLevel="0" collapsed="false">
      <c r="A44" s="44" t="s">
        <v>527</v>
      </c>
      <c r="B44" s="45"/>
      <c r="C44" s="46" t="s">
        <v>528</v>
      </c>
    </row>
    <row r="45" customFormat="false" ht="15" hidden="false" customHeight="false" outlineLevel="0" collapsed="false">
      <c r="A45" s="47" t="s">
        <v>529</v>
      </c>
      <c r="B45" s="52" t="n">
        <f aca="false">'The Gap'!F19</f>
        <v>586150</v>
      </c>
      <c r="C45" s="49" t="s">
        <v>530</v>
      </c>
    </row>
    <row r="46" customFormat="false" ht="15" hidden="false" customHeight="false" outlineLevel="0" collapsed="false">
      <c r="A46" s="47" t="s">
        <v>531</v>
      </c>
      <c r="B46" s="52" t="n">
        <f aca="false">'The Gap'!F20</f>
        <v>50266.6666666667</v>
      </c>
      <c r="C46" s="49" t="s">
        <v>532</v>
      </c>
    </row>
    <row r="47" customFormat="false" ht="15" hidden="false" customHeight="false" outlineLevel="0" collapsed="false">
      <c r="A47" s="44" t="s">
        <v>533</v>
      </c>
      <c r="B47" s="45"/>
      <c r="C47" s="46" t="s">
        <v>534</v>
      </c>
    </row>
    <row r="48" customFormat="false" ht="15" hidden="false" customHeight="false" outlineLevel="0" collapsed="false">
      <c r="A48" s="47" t="s">
        <v>535</v>
      </c>
      <c r="B48" s="52" t="n">
        <f aca="false">'Income Statement'!C8</f>
        <v>13000</v>
      </c>
      <c r="C48" s="49" t="s">
        <v>536</v>
      </c>
    </row>
    <row r="49" customFormat="false" ht="15" hidden="false" customHeight="false" outlineLevel="0" collapsed="false">
      <c r="A49" s="47" t="s">
        <v>537</v>
      </c>
      <c r="B49" s="52" t="n">
        <f aca="false">'Income Statement'!D8</f>
        <v>2400</v>
      </c>
      <c r="C49" s="49" t="s">
        <v>538</v>
      </c>
    </row>
    <row r="50" customFormat="false" ht="15" hidden="false" customHeight="false" outlineLevel="0" collapsed="false">
      <c r="A50" s="47" t="s">
        <v>539</v>
      </c>
      <c r="B50" s="52" t="n">
        <f aca="false">'Income Statement'!E8</f>
        <v>0</v>
      </c>
      <c r="C50" s="49" t="s">
        <v>540</v>
      </c>
    </row>
    <row r="51" customFormat="false" ht="15" hidden="false" customHeight="false" outlineLevel="0" collapsed="false">
      <c r="A51" s="47" t="s">
        <v>541</v>
      </c>
      <c r="B51" s="52" t="n">
        <f aca="false">'Income Statement'!F8</f>
        <v>15400</v>
      </c>
      <c r="C51" s="49" t="s">
        <v>542</v>
      </c>
    </row>
    <row r="52" customFormat="false" ht="15" hidden="false" customHeight="false" outlineLevel="0" collapsed="false">
      <c r="A52" s="47" t="s">
        <v>543</v>
      </c>
      <c r="B52" s="52" t="n">
        <f aca="false">'Income Statement'!C9</f>
        <v>0</v>
      </c>
      <c r="C52" s="49" t="s">
        <v>544</v>
      </c>
    </row>
    <row r="53" customFormat="false" ht="15" hidden="false" customHeight="false" outlineLevel="0" collapsed="false">
      <c r="A53" s="47" t="s">
        <v>545</v>
      </c>
      <c r="B53" s="52" t="n">
        <f aca="false">'Income Statement'!D9</f>
        <v>0</v>
      </c>
      <c r="C53" s="49" t="s">
        <v>546</v>
      </c>
    </row>
    <row r="54" customFormat="false" ht="15" hidden="false" customHeight="false" outlineLevel="0" collapsed="false">
      <c r="A54" s="47" t="s">
        <v>547</v>
      </c>
      <c r="B54" s="52" t="n">
        <f aca="false">'Income Statement'!E9</f>
        <v>0</v>
      </c>
      <c r="C54" s="49" t="s">
        <v>548</v>
      </c>
    </row>
    <row r="55" customFormat="false" ht="15" hidden="false" customHeight="false" outlineLevel="0" collapsed="false">
      <c r="A55" s="47" t="s">
        <v>549</v>
      </c>
      <c r="B55" s="52" t="n">
        <f aca="false">'Income Statement'!F9</f>
        <v>0</v>
      </c>
      <c r="C55" s="49" t="s">
        <v>550</v>
      </c>
    </row>
    <row r="56" customFormat="false" ht="15" hidden="false" customHeight="false" outlineLevel="0" collapsed="false">
      <c r="A56" s="47" t="s">
        <v>551</v>
      </c>
      <c r="B56" s="52" t="n">
        <f aca="false">'Income Statement'!C10</f>
        <v>0</v>
      </c>
      <c r="C56" s="49" t="s">
        <v>552</v>
      </c>
    </row>
    <row r="57" customFormat="false" ht="15" hidden="false" customHeight="false" outlineLevel="0" collapsed="false">
      <c r="A57" s="47" t="s">
        <v>553</v>
      </c>
      <c r="B57" s="52" t="n">
        <f aca="false">'Income Statement'!D10</f>
        <v>0</v>
      </c>
      <c r="C57" s="49" t="s">
        <v>554</v>
      </c>
    </row>
    <row r="58" customFormat="false" ht="15" hidden="false" customHeight="false" outlineLevel="0" collapsed="false">
      <c r="A58" s="47" t="s">
        <v>555</v>
      </c>
      <c r="B58" s="52" t="n">
        <f aca="false">'Income Statement'!E10</f>
        <v>1200</v>
      </c>
      <c r="C58" s="49" t="s">
        <v>556</v>
      </c>
    </row>
    <row r="59" customFormat="false" ht="15" hidden="false" customHeight="false" outlineLevel="0" collapsed="false">
      <c r="A59" s="47" t="s">
        <v>557</v>
      </c>
      <c r="B59" s="52" t="n">
        <f aca="false">'Income Statement'!F10</f>
        <v>1200</v>
      </c>
      <c r="C59" s="49" t="s">
        <v>558</v>
      </c>
    </row>
    <row r="60" customFormat="false" ht="15" hidden="false" customHeight="false" outlineLevel="0" collapsed="false">
      <c r="A60" s="47" t="s">
        <v>559</v>
      </c>
      <c r="B60" s="52" t="n">
        <f aca="false">'Income Statement'!C11</f>
        <v>0</v>
      </c>
      <c r="C60" s="49" t="s">
        <v>560</v>
      </c>
    </row>
    <row r="61" customFormat="false" ht="15" hidden="false" customHeight="false" outlineLevel="0" collapsed="false">
      <c r="A61" s="47" t="s">
        <v>561</v>
      </c>
      <c r="B61" s="52" t="n">
        <f aca="false">'Income Statement'!D11</f>
        <v>450</v>
      </c>
      <c r="C61" s="49" t="s">
        <v>562</v>
      </c>
    </row>
    <row r="62" customFormat="false" ht="15" hidden="false" customHeight="false" outlineLevel="0" collapsed="false">
      <c r="A62" s="47" t="s">
        <v>563</v>
      </c>
      <c r="B62" s="52" t="n">
        <f aca="false">'Income Statement'!E11</f>
        <v>0</v>
      </c>
      <c r="C62" s="49" t="s">
        <v>564</v>
      </c>
    </row>
    <row r="63" customFormat="false" ht="15" hidden="false" customHeight="false" outlineLevel="0" collapsed="false">
      <c r="A63" s="47" t="s">
        <v>565</v>
      </c>
      <c r="B63" s="52" t="n">
        <f aca="false">'Income Statement'!F11</f>
        <v>450</v>
      </c>
      <c r="C63" s="49" t="s">
        <v>566</v>
      </c>
    </row>
    <row r="64" customFormat="false" ht="15" hidden="false" customHeight="false" outlineLevel="0" collapsed="false">
      <c r="A64" s="47" t="s">
        <v>567</v>
      </c>
      <c r="B64" s="52" t="n">
        <f aca="false">'Income Statement'!C12</f>
        <v>0</v>
      </c>
      <c r="C64" s="49" t="s">
        <v>568</v>
      </c>
    </row>
    <row r="65" customFormat="false" ht="15" hidden="false" customHeight="false" outlineLevel="0" collapsed="false">
      <c r="A65" s="47" t="s">
        <v>569</v>
      </c>
      <c r="B65" s="52" t="n">
        <f aca="false">'Income Statement'!D12</f>
        <v>0</v>
      </c>
      <c r="C65" s="49" t="s">
        <v>570</v>
      </c>
    </row>
    <row r="66" customFormat="false" ht="15" hidden="false" customHeight="false" outlineLevel="0" collapsed="false">
      <c r="A66" s="47" t="s">
        <v>571</v>
      </c>
      <c r="B66" s="52" t="n">
        <f aca="false">'Income Statement'!E12</f>
        <v>0</v>
      </c>
      <c r="C66" s="49" t="s">
        <v>572</v>
      </c>
    </row>
    <row r="67" customFormat="false" ht="15" hidden="false" customHeight="false" outlineLevel="0" collapsed="false">
      <c r="A67" s="47" t="s">
        <v>573</v>
      </c>
      <c r="B67" s="52" t="n">
        <f aca="false">'Income Statement'!F12</f>
        <v>0</v>
      </c>
      <c r="C67" s="49" t="s">
        <v>574</v>
      </c>
    </row>
    <row r="68" customFormat="false" ht="15" hidden="false" customHeight="false" outlineLevel="0" collapsed="false">
      <c r="A68" s="47" t="s">
        <v>575</v>
      </c>
      <c r="B68" s="52" t="n">
        <f aca="false">'Income Statement'!C13</f>
        <v>0</v>
      </c>
      <c r="C68" s="49" t="s">
        <v>576</v>
      </c>
    </row>
    <row r="69" customFormat="false" ht="15" hidden="false" customHeight="false" outlineLevel="0" collapsed="false">
      <c r="A69" s="47" t="s">
        <v>577</v>
      </c>
      <c r="B69" s="52" t="n">
        <f aca="false">'Income Statement'!D13</f>
        <v>0</v>
      </c>
      <c r="C69" s="49" t="s">
        <v>578</v>
      </c>
    </row>
    <row r="70" customFormat="false" ht="15" hidden="false" customHeight="false" outlineLevel="0" collapsed="false">
      <c r="A70" s="47" t="s">
        <v>579</v>
      </c>
      <c r="B70" s="52" t="n">
        <f aca="false">'Income Statement'!E13</f>
        <v>0</v>
      </c>
      <c r="C70" s="49" t="s">
        <v>580</v>
      </c>
    </row>
    <row r="71" customFormat="false" ht="15" hidden="false" customHeight="false" outlineLevel="0" collapsed="false">
      <c r="A71" s="47" t="s">
        <v>581</v>
      </c>
      <c r="B71" s="52" t="n">
        <f aca="false">'Income Statement'!F13</f>
        <v>0</v>
      </c>
      <c r="C71" s="49" t="s">
        <v>582</v>
      </c>
    </row>
    <row r="72" customFormat="false" ht="15" hidden="false" customHeight="false" outlineLevel="0" collapsed="false">
      <c r="A72" s="47" t="s">
        <v>583</v>
      </c>
      <c r="B72" s="52" t="n">
        <f aca="false">'Income Statement'!C14</f>
        <v>0</v>
      </c>
      <c r="C72" s="49" t="s">
        <v>584</v>
      </c>
    </row>
    <row r="73" customFormat="false" ht="15" hidden="false" customHeight="false" outlineLevel="0" collapsed="false">
      <c r="A73" s="47" t="s">
        <v>585</v>
      </c>
      <c r="B73" s="52" t="n">
        <f aca="false">'Income Statement'!D14</f>
        <v>0</v>
      </c>
      <c r="C73" s="49" t="s">
        <v>586</v>
      </c>
    </row>
    <row r="74" customFormat="false" ht="15" hidden="false" customHeight="false" outlineLevel="0" collapsed="false">
      <c r="A74" s="47" t="s">
        <v>587</v>
      </c>
      <c r="B74" s="52" t="n">
        <f aca="false">'Income Statement'!E14</f>
        <v>0</v>
      </c>
      <c r="C74" s="49" t="s">
        <v>588</v>
      </c>
    </row>
    <row r="75" customFormat="false" ht="15" hidden="false" customHeight="false" outlineLevel="0" collapsed="false">
      <c r="A75" s="47" t="s">
        <v>589</v>
      </c>
      <c r="B75" s="52" t="n">
        <f aca="false">'Income Statement'!F14</f>
        <v>0</v>
      </c>
      <c r="C75" s="49" t="s">
        <v>590</v>
      </c>
    </row>
    <row r="76" customFormat="false" ht="15" hidden="false" customHeight="false" outlineLevel="0" collapsed="false">
      <c r="A76" s="47" t="s">
        <v>591</v>
      </c>
      <c r="B76" s="52" t="n">
        <f aca="false">'Income Statement'!C15</f>
        <v>13000</v>
      </c>
      <c r="C76" s="49" t="s">
        <v>592</v>
      </c>
    </row>
    <row r="77" customFormat="false" ht="15" hidden="false" customHeight="false" outlineLevel="0" collapsed="false">
      <c r="A77" s="47" t="s">
        <v>593</v>
      </c>
      <c r="B77" s="52" t="n">
        <f aca="false">'Income Statement'!D15</f>
        <v>2850</v>
      </c>
      <c r="C77" s="49" t="s">
        <v>594</v>
      </c>
    </row>
    <row r="78" customFormat="false" ht="15" hidden="false" customHeight="false" outlineLevel="0" collapsed="false">
      <c r="A78" s="47" t="s">
        <v>595</v>
      </c>
      <c r="B78" s="52" t="n">
        <f aca="false">'Income Statement'!E15</f>
        <v>1200</v>
      </c>
      <c r="C78" s="49" t="s">
        <v>596</v>
      </c>
    </row>
    <row r="79" customFormat="false" ht="15" hidden="false" customHeight="false" outlineLevel="0" collapsed="false">
      <c r="A79" s="47" t="s">
        <v>597</v>
      </c>
      <c r="B79" s="52" t="n">
        <f aca="false">'Income Statement'!F15</f>
        <v>17050</v>
      </c>
      <c r="C79" s="49" t="s">
        <v>598</v>
      </c>
    </row>
    <row r="80" customFormat="false" ht="15" hidden="false" customHeight="false" outlineLevel="0" collapsed="false">
      <c r="A80" s="47" t="s">
        <v>599</v>
      </c>
      <c r="B80" s="52" t="n">
        <f aca="false">'Income Statement'!C18</f>
        <v>0</v>
      </c>
      <c r="C80" s="49" t="s">
        <v>600</v>
      </c>
    </row>
    <row r="81" customFormat="false" ht="15" hidden="false" customHeight="false" outlineLevel="0" collapsed="false">
      <c r="A81" s="47" t="s">
        <v>601</v>
      </c>
      <c r="B81" s="52" t="n">
        <f aca="false">'Income Statement'!D18</f>
        <v>0</v>
      </c>
      <c r="C81" s="49" t="s">
        <v>602</v>
      </c>
    </row>
    <row r="82" customFormat="false" ht="15" hidden="false" customHeight="false" outlineLevel="0" collapsed="false">
      <c r="A82" s="47" t="s">
        <v>603</v>
      </c>
      <c r="B82" s="52" t="n">
        <f aca="false">'Income Statement'!E18</f>
        <v>2945</v>
      </c>
      <c r="C82" s="49" t="s">
        <v>604</v>
      </c>
    </row>
    <row r="83" customFormat="false" ht="15" hidden="false" customHeight="false" outlineLevel="0" collapsed="false">
      <c r="A83" s="47" t="s">
        <v>605</v>
      </c>
      <c r="B83" s="52" t="n">
        <f aca="false">'Income Statement'!F18</f>
        <v>2945</v>
      </c>
      <c r="C83" s="49" t="s">
        <v>606</v>
      </c>
    </row>
    <row r="84" customFormat="false" ht="15" hidden="false" customHeight="false" outlineLevel="0" collapsed="false">
      <c r="A84" s="47" t="s">
        <v>607</v>
      </c>
      <c r="B84" s="52" t="n">
        <f aca="false">'Income Statement'!C19</f>
        <v>0</v>
      </c>
      <c r="C84" s="49" t="s">
        <v>608</v>
      </c>
    </row>
    <row r="85" customFormat="false" ht="15" hidden="false" customHeight="false" outlineLevel="0" collapsed="false">
      <c r="A85" s="47" t="s">
        <v>609</v>
      </c>
      <c r="B85" s="52" t="n">
        <f aca="false">'Income Statement'!D19</f>
        <v>241.63</v>
      </c>
      <c r="C85" s="49" t="s">
        <v>610</v>
      </c>
    </row>
    <row r="86" customFormat="false" ht="15" hidden="false" customHeight="false" outlineLevel="0" collapsed="false">
      <c r="A86" s="47" t="s">
        <v>611</v>
      </c>
      <c r="B86" s="52" t="n">
        <f aca="false">'Income Statement'!E19</f>
        <v>89</v>
      </c>
      <c r="C86" s="49" t="s">
        <v>612</v>
      </c>
    </row>
    <row r="87" customFormat="false" ht="15" hidden="false" customHeight="false" outlineLevel="0" collapsed="false">
      <c r="A87" s="47" t="s">
        <v>613</v>
      </c>
      <c r="B87" s="52" t="n">
        <f aca="false">'Income Statement'!F19</f>
        <v>330.63</v>
      </c>
      <c r="C87" s="49" t="s">
        <v>614</v>
      </c>
    </row>
    <row r="88" customFormat="false" ht="15" hidden="false" customHeight="false" outlineLevel="0" collapsed="false">
      <c r="A88" s="47" t="s">
        <v>615</v>
      </c>
      <c r="B88" s="52" t="n">
        <f aca="false">'Income Statement'!C20</f>
        <v>317</v>
      </c>
      <c r="C88" s="49" t="s">
        <v>616</v>
      </c>
    </row>
    <row r="89" customFormat="false" ht="15" hidden="false" customHeight="false" outlineLevel="0" collapsed="false">
      <c r="A89" s="47" t="s">
        <v>617</v>
      </c>
      <c r="B89" s="52" t="n">
        <f aca="false">'Income Statement'!D20</f>
        <v>0</v>
      </c>
      <c r="C89" s="49" t="s">
        <v>618</v>
      </c>
    </row>
    <row r="90" customFormat="false" ht="15" hidden="false" customHeight="false" outlineLevel="0" collapsed="false">
      <c r="A90" s="47" t="s">
        <v>619</v>
      </c>
      <c r="B90" s="52" t="n">
        <f aca="false">'Income Statement'!E20</f>
        <v>0</v>
      </c>
      <c r="C90" s="49" t="s">
        <v>620</v>
      </c>
    </row>
    <row r="91" customFormat="false" ht="15" hidden="false" customHeight="false" outlineLevel="0" collapsed="false">
      <c r="A91" s="47" t="s">
        <v>621</v>
      </c>
      <c r="B91" s="52" t="n">
        <f aca="false">'Income Statement'!F20</f>
        <v>317</v>
      </c>
      <c r="C91" s="49" t="s">
        <v>622</v>
      </c>
    </row>
    <row r="92" customFormat="false" ht="15" hidden="false" customHeight="false" outlineLevel="0" collapsed="false">
      <c r="A92" s="47" t="s">
        <v>623</v>
      </c>
      <c r="B92" s="52" t="n">
        <f aca="false">'Income Statement'!C21</f>
        <v>0</v>
      </c>
      <c r="C92" s="49" t="s">
        <v>624</v>
      </c>
    </row>
    <row r="93" customFormat="false" ht="15" hidden="false" customHeight="false" outlineLevel="0" collapsed="false">
      <c r="A93" s="47" t="s">
        <v>625</v>
      </c>
      <c r="B93" s="52" t="n">
        <f aca="false">'Income Statement'!D21</f>
        <v>32</v>
      </c>
      <c r="C93" s="49" t="s">
        <v>626</v>
      </c>
    </row>
    <row r="94" customFormat="false" ht="15" hidden="false" customHeight="false" outlineLevel="0" collapsed="false">
      <c r="A94" s="47" t="s">
        <v>627</v>
      </c>
      <c r="B94" s="52" t="n">
        <f aca="false">'Income Statement'!E21</f>
        <v>520</v>
      </c>
      <c r="C94" s="49" t="s">
        <v>628</v>
      </c>
    </row>
    <row r="95" customFormat="false" ht="15" hidden="false" customHeight="false" outlineLevel="0" collapsed="false">
      <c r="A95" s="47" t="s">
        <v>629</v>
      </c>
      <c r="B95" s="52" t="n">
        <f aca="false">'Income Statement'!F21</f>
        <v>552</v>
      </c>
      <c r="C95" s="49" t="s">
        <v>630</v>
      </c>
    </row>
    <row r="96" customFormat="false" ht="15" hidden="false" customHeight="false" outlineLevel="0" collapsed="false">
      <c r="A96" s="47" t="s">
        <v>631</v>
      </c>
      <c r="B96" s="52" t="n">
        <f aca="false">'Income Statement'!C22</f>
        <v>0</v>
      </c>
      <c r="C96" s="49" t="s">
        <v>632</v>
      </c>
    </row>
    <row r="97" customFormat="false" ht="15" hidden="false" customHeight="false" outlineLevel="0" collapsed="false">
      <c r="A97" s="47" t="s">
        <v>633</v>
      </c>
      <c r="B97" s="52" t="n">
        <f aca="false">'Income Statement'!D22</f>
        <v>0</v>
      </c>
      <c r="C97" s="49" t="s">
        <v>634</v>
      </c>
    </row>
    <row r="98" customFormat="false" ht="15" hidden="false" customHeight="false" outlineLevel="0" collapsed="false">
      <c r="A98" s="47" t="s">
        <v>635</v>
      </c>
      <c r="B98" s="52" t="n">
        <f aca="false">'Income Statement'!E22</f>
        <v>0</v>
      </c>
      <c r="C98" s="49" t="s">
        <v>636</v>
      </c>
    </row>
    <row r="99" customFormat="false" ht="15" hidden="false" customHeight="false" outlineLevel="0" collapsed="false">
      <c r="A99" s="47" t="s">
        <v>637</v>
      </c>
      <c r="B99" s="52" t="n">
        <f aca="false">'Income Statement'!F22</f>
        <v>0</v>
      </c>
      <c r="C99" s="49" t="s">
        <v>638</v>
      </c>
    </row>
    <row r="100" customFormat="false" ht="15" hidden="false" customHeight="false" outlineLevel="0" collapsed="false">
      <c r="A100" s="47" t="s">
        <v>639</v>
      </c>
      <c r="B100" s="52" t="n">
        <f aca="false">'Income Statement'!C23</f>
        <v>0</v>
      </c>
      <c r="C100" s="49" t="s">
        <v>640</v>
      </c>
    </row>
    <row r="101" customFormat="false" ht="15" hidden="false" customHeight="false" outlineLevel="0" collapsed="false">
      <c r="A101" s="47" t="s">
        <v>641</v>
      </c>
      <c r="B101" s="52" t="n">
        <f aca="false">'Income Statement'!D23</f>
        <v>0</v>
      </c>
      <c r="C101" s="49" t="s">
        <v>642</v>
      </c>
    </row>
    <row r="102" customFormat="false" ht="15" hidden="false" customHeight="false" outlineLevel="0" collapsed="false">
      <c r="A102" s="47" t="s">
        <v>643</v>
      </c>
      <c r="B102" s="52" t="n">
        <f aca="false">'Income Statement'!E23</f>
        <v>0</v>
      </c>
      <c r="C102" s="49" t="s">
        <v>644</v>
      </c>
    </row>
    <row r="103" customFormat="false" ht="15" hidden="false" customHeight="false" outlineLevel="0" collapsed="false">
      <c r="A103" s="47" t="s">
        <v>645</v>
      </c>
      <c r="B103" s="52" t="n">
        <f aca="false">'Income Statement'!F23</f>
        <v>0</v>
      </c>
      <c r="C103" s="49" t="s">
        <v>646</v>
      </c>
    </row>
    <row r="104" customFormat="false" ht="15" hidden="false" customHeight="false" outlineLevel="0" collapsed="false">
      <c r="A104" s="47" t="s">
        <v>647</v>
      </c>
      <c r="B104" s="52" t="n">
        <f aca="false">'Income Statement'!C24</f>
        <v>0</v>
      </c>
      <c r="C104" s="49" t="s">
        <v>648</v>
      </c>
    </row>
    <row r="105" customFormat="false" ht="15" hidden="false" customHeight="false" outlineLevel="0" collapsed="false">
      <c r="A105" s="47" t="s">
        <v>649</v>
      </c>
      <c r="B105" s="52" t="n">
        <f aca="false">'Income Statement'!D24</f>
        <v>0</v>
      </c>
      <c r="C105" s="49" t="s">
        <v>650</v>
      </c>
    </row>
    <row r="106" customFormat="false" ht="15" hidden="false" customHeight="false" outlineLevel="0" collapsed="false">
      <c r="A106" s="47" t="s">
        <v>651</v>
      </c>
      <c r="B106" s="52" t="n">
        <f aca="false">'Income Statement'!E24</f>
        <v>0</v>
      </c>
      <c r="C106" s="49" t="s">
        <v>652</v>
      </c>
    </row>
    <row r="107" customFormat="false" ht="15" hidden="false" customHeight="false" outlineLevel="0" collapsed="false">
      <c r="A107" s="47" t="s">
        <v>653</v>
      </c>
      <c r="B107" s="52" t="n">
        <f aca="false">'Income Statement'!F24</f>
        <v>0</v>
      </c>
      <c r="C107" s="49" t="s">
        <v>654</v>
      </c>
    </row>
    <row r="108" customFormat="false" ht="15" hidden="false" customHeight="false" outlineLevel="0" collapsed="false">
      <c r="A108" s="47" t="s">
        <v>655</v>
      </c>
      <c r="B108" s="52" t="n">
        <f aca="false">'Income Statement'!C25</f>
        <v>240</v>
      </c>
      <c r="C108" s="49" t="s">
        <v>656</v>
      </c>
    </row>
    <row r="109" customFormat="false" ht="15" hidden="false" customHeight="false" outlineLevel="0" collapsed="false">
      <c r="A109" s="47" t="s">
        <v>657</v>
      </c>
      <c r="B109" s="52" t="n">
        <f aca="false">'Income Statement'!D25</f>
        <v>220</v>
      </c>
      <c r="C109" s="49" t="s">
        <v>658</v>
      </c>
    </row>
    <row r="110" customFormat="false" ht="15" hidden="false" customHeight="false" outlineLevel="0" collapsed="false">
      <c r="A110" s="47" t="s">
        <v>659</v>
      </c>
      <c r="B110" s="52" t="n">
        <f aca="false">'Income Statement'!E25</f>
        <v>0</v>
      </c>
      <c r="C110" s="49" t="s">
        <v>660</v>
      </c>
    </row>
    <row r="111" customFormat="false" ht="15" hidden="false" customHeight="false" outlineLevel="0" collapsed="false">
      <c r="A111" s="47" t="s">
        <v>661</v>
      </c>
      <c r="B111" s="52" t="n">
        <f aca="false">'Income Statement'!F25</f>
        <v>460</v>
      </c>
      <c r="C111" s="49" t="s">
        <v>662</v>
      </c>
    </row>
    <row r="112" customFormat="false" ht="15" hidden="false" customHeight="false" outlineLevel="0" collapsed="false">
      <c r="A112" s="47" t="s">
        <v>663</v>
      </c>
      <c r="B112" s="52" t="n">
        <f aca="false">'Income Statement'!C26</f>
        <v>0</v>
      </c>
      <c r="C112" s="49" t="s">
        <v>664</v>
      </c>
    </row>
    <row r="113" customFormat="false" ht="15" hidden="false" customHeight="false" outlineLevel="0" collapsed="false">
      <c r="A113" s="47" t="s">
        <v>665</v>
      </c>
      <c r="B113" s="52" t="n">
        <f aca="false">'Income Statement'!D26</f>
        <v>0</v>
      </c>
      <c r="C113" s="49" t="s">
        <v>666</v>
      </c>
    </row>
    <row r="114" customFormat="false" ht="15" hidden="false" customHeight="false" outlineLevel="0" collapsed="false">
      <c r="A114" s="47" t="s">
        <v>667</v>
      </c>
      <c r="B114" s="52" t="n">
        <f aca="false">'Income Statement'!E26</f>
        <v>0</v>
      </c>
      <c r="C114" s="49" t="s">
        <v>668</v>
      </c>
    </row>
    <row r="115" customFormat="false" ht="15" hidden="false" customHeight="false" outlineLevel="0" collapsed="false">
      <c r="A115" s="47" t="s">
        <v>669</v>
      </c>
      <c r="B115" s="52" t="n">
        <f aca="false">'Income Statement'!F26</f>
        <v>0</v>
      </c>
      <c r="C115" s="49" t="s">
        <v>670</v>
      </c>
    </row>
    <row r="116" customFormat="false" ht="15" hidden="false" customHeight="false" outlineLevel="0" collapsed="false">
      <c r="A116" s="47" t="s">
        <v>671</v>
      </c>
      <c r="B116" s="52" t="n">
        <f aca="false">'Income Statement'!C27</f>
        <v>0</v>
      </c>
      <c r="C116" s="49" t="s">
        <v>672</v>
      </c>
    </row>
    <row r="117" customFormat="false" ht="15" hidden="false" customHeight="false" outlineLevel="0" collapsed="false">
      <c r="A117" s="47" t="s">
        <v>673</v>
      </c>
      <c r="B117" s="52" t="n">
        <f aca="false">'Income Statement'!D27</f>
        <v>0</v>
      </c>
      <c r="C117" s="49" t="s">
        <v>674</v>
      </c>
    </row>
    <row r="118" customFormat="false" ht="15" hidden="false" customHeight="false" outlineLevel="0" collapsed="false">
      <c r="A118" s="47" t="s">
        <v>675</v>
      </c>
      <c r="B118" s="52" t="n">
        <f aca="false">'Income Statement'!E27</f>
        <v>14.99</v>
      </c>
      <c r="C118" s="49" t="s">
        <v>676</v>
      </c>
    </row>
    <row r="119" customFormat="false" ht="15" hidden="false" customHeight="false" outlineLevel="0" collapsed="false">
      <c r="A119" s="47" t="s">
        <v>677</v>
      </c>
      <c r="B119" s="52" t="n">
        <f aca="false">'Income Statement'!F27</f>
        <v>14.99</v>
      </c>
      <c r="C119" s="49" t="s">
        <v>678</v>
      </c>
    </row>
    <row r="120" customFormat="false" ht="15" hidden="false" customHeight="false" outlineLevel="0" collapsed="false">
      <c r="A120" s="47" t="s">
        <v>679</v>
      </c>
      <c r="B120" s="52" t="n">
        <f aca="false">'Income Statement'!C28</f>
        <v>0</v>
      </c>
      <c r="C120" s="49" t="s">
        <v>680</v>
      </c>
    </row>
    <row r="121" customFormat="false" ht="15" hidden="false" customHeight="false" outlineLevel="0" collapsed="false">
      <c r="A121" s="47" t="s">
        <v>681</v>
      </c>
      <c r="B121" s="52" t="n">
        <f aca="false">'Income Statement'!D28</f>
        <v>0</v>
      </c>
      <c r="C121" s="49" t="s">
        <v>682</v>
      </c>
    </row>
    <row r="122" customFormat="false" ht="15" hidden="false" customHeight="false" outlineLevel="0" collapsed="false">
      <c r="A122" s="47" t="s">
        <v>683</v>
      </c>
      <c r="B122" s="52" t="n">
        <f aca="false">'Income Statement'!E28</f>
        <v>1200</v>
      </c>
      <c r="C122" s="49" t="s">
        <v>684</v>
      </c>
    </row>
    <row r="123" customFormat="false" ht="15" hidden="false" customHeight="false" outlineLevel="0" collapsed="false">
      <c r="A123" s="47" t="s">
        <v>685</v>
      </c>
      <c r="B123" s="52" t="n">
        <f aca="false">'Income Statement'!F28</f>
        <v>1200</v>
      </c>
      <c r="C123" s="49" t="s">
        <v>686</v>
      </c>
    </row>
    <row r="124" customFormat="false" ht="15" hidden="false" customHeight="false" outlineLevel="0" collapsed="false">
      <c r="A124" s="47" t="s">
        <v>687</v>
      </c>
      <c r="B124" s="52" t="n">
        <f aca="false">'Income Statement'!C29</f>
        <v>0</v>
      </c>
      <c r="C124" s="49" t="s">
        <v>688</v>
      </c>
    </row>
    <row r="125" customFormat="false" ht="15" hidden="false" customHeight="false" outlineLevel="0" collapsed="false">
      <c r="A125" s="47" t="s">
        <v>689</v>
      </c>
      <c r="B125" s="52" t="n">
        <f aca="false">'Income Statement'!D29</f>
        <v>0</v>
      </c>
      <c r="C125" s="49" t="s">
        <v>690</v>
      </c>
    </row>
    <row r="126" customFormat="false" ht="15" hidden="false" customHeight="false" outlineLevel="0" collapsed="false">
      <c r="A126" s="47" t="s">
        <v>691</v>
      </c>
      <c r="B126" s="52" t="n">
        <f aca="false">'Income Statement'!E29</f>
        <v>0</v>
      </c>
      <c r="C126" s="49" t="s">
        <v>692</v>
      </c>
    </row>
    <row r="127" customFormat="false" ht="15" hidden="false" customHeight="false" outlineLevel="0" collapsed="false">
      <c r="A127" s="47" t="s">
        <v>693</v>
      </c>
      <c r="B127" s="52" t="n">
        <f aca="false">'Income Statement'!F29</f>
        <v>0</v>
      </c>
      <c r="C127" s="49" t="s">
        <v>694</v>
      </c>
    </row>
    <row r="128" customFormat="false" ht="15" hidden="false" customHeight="false" outlineLevel="0" collapsed="false">
      <c r="A128" s="47" t="s">
        <v>695</v>
      </c>
      <c r="B128" s="52" t="n">
        <f aca="false">'Income Statement'!C30</f>
        <v>0</v>
      </c>
      <c r="C128" s="49" t="s">
        <v>696</v>
      </c>
    </row>
    <row r="129" customFormat="false" ht="15" hidden="false" customHeight="false" outlineLevel="0" collapsed="false">
      <c r="A129" s="47" t="s">
        <v>697</v>
      </c>
      <c r="B129" s="52" t="n">
        <f aca="false">'Income Statement'!D30</f>
        <v>0</v>
      </c>
      <c r="C129" s="49" t="s">
        <v>698</v>
      </c>
    </row>
    <row r="130" customFormat="false" ht="15" hidden="false" customHeight="false" outlineLevel="0" collapsed="false">
      <c r="A130" s="47" t="s">
        <v>699</v>
      </c>
      <c r="B130" s="52" t="n">
        <f aca="false">'Income Statement'!E30</f>
        <v>0</v>
      </c>
      <c r="C130" s="49" t="s">
        <v>700</v>
      </c>
    </row>
    <row r="131" customFormat="false" ht="15" hidden="false" customHeight="false" outlineLevel="0" collapsed="false">
      <c r="A131" s="47" t="s">
        <v>701</v>
      </c>
      <c r="B131" s="52" t="n">
        <f aca="false">'Income Statement'!F30</f>
        <v>0</v>
      </c>
      <c r="C131" s="49" t="s">
        <v>702</v>
      </c>
    </row>
    <row r="132" customFormat="false" ht="15" hidden="false" customHeight="false" outlineLevel="0" collapsed="false">
      <c r="A132" s="47" t="s">
        <v>703</v>
      </c>
      <c r="B132" s="52" t="n">
        <f aca="false">'Income Statement'!C31</f>
        <v>0</v>
      </c>
      <c r="C132" s="49" t="s">
        <v>704</v>
      </c>
    </row>
    <row r="133" customFormat="false" ht="15" hidden="false" customHeight="false" outlineLevel="0" collapsed="false">
      <c r="A133" s="47" t="s">
        <v>705</v>
      </c>
      <c r="B133" s="52" t="n">
        <f aca="false">'Income Statement'!D31</f>
        <v>0</v>
      </c>
      <c r="C133" s="49" t="s">
        <v>706</v>
      </c>
    </row>
    <row r="134" customFormat="false" ht="15" hidden="false" customHeight="false" outlineLevel="0" collapsed="false">
      <c r="A134" s="47" t="s">
        <v>707</v>
      </c>
      <c r="B134" s="52" t="n">
        <f aca="false">'Income Statement'!E31</f>
        <v>0</v>
      </c>
      <c r="C134" s="49" t="s">
        <v>708</v>
      </c>
    </row>
    <row r="135" customFormat="false" ht="15" hidden="false" customHeight="false" outlineLevel="0" collapsed="false">
      <c r="A135" s="47" t="s">
        <v>709</v>
      </c>
      <c r="B135" s="52" t="n">
        <f aca="false">'Income Statement'!F31</f>
        <v>0</v>
      </c>
      <c r="C135" s="49" t="s">
        <v>710</v>
      </c>
    </row>
    <row r="136" customFormat="false" ht="15" hidden="false" customHeight="false" outlineLevel="0" collapsed="false">
      <c r="A136" s="47" t="s">
        <v>711</v>
      </c>
      <c r="B136" s="52" t="n">
        <f aca="false">'Income Statement'!C32</f>
        <v>0</v>
      </c>
      <c r="C136" s="49" t="s">
        <v>712</v>
      </c>
    </row>
    <row r="137" customFormat="false" ht="15" hidden="false" customHeight="false" outlineLevel="0" collapsed="false">
      <c r="A137" s="47" t="s">
        <v>713</v>
      </c>
      <c r="B137" s="52" t="n">
        <f aca="false">'Income Statement'!D32</f>
        <v>0</v>
      </c>
      <c r="C137" s="49" t="s">
        <v>714</v>
      </c>
    </row>
    <row r="138" customFormat="false" ht="15" hidden="false" customHeight="false" outlineLevel="0" collapsed="false">
      <c r="A138" s="47" t="s">
        <v>715</v>
      </c>
      <c r="B138" s="52" t="n">
        <f aca="false">'Income Statement'!E32</f>
        <v>0</v>
      </c>
      <c r="C138" s="49" t="s">
        <v>716</v>
      </c>
    </row>
    <row r="139" customFormat="false" ht="15" hidden="false" customHeight="false" outlineLevel="0" collapsed="false">
      <c r="A139" s="47" t="s">
        <v>717</v>
      </c>
      <c r="B139" s="52" t="n">
        <f aca="false">'Income Statement'!F32</f>
        <v>0</v>
      </c>
      <c r="C139" s="49" t="s">
        <v>718</v>
      </c>
    </row>
    <row r="140" customFormat="false" ht="15" hidden="false" customHeight="false" outlineLevel="0" collapsed="false">
      <c r="A140" s="47" t="s">
        <v>719</v>
      </c>
      <c r="B140" s="52" t="n">
        <f aca="false">'Income Statement'!C33</f>
        <v>557</v>
      </c>
      <c r="C140" s="49" t="s">
        <v>720</v>
      </c>
    </row>
    <row r="141" customFormat="false" ht="15" hidden="false" customHeight="false" outlineLevel="0" collapsed="false">
      <c r="A141" s="47" t="s">
        <v>721</v>
      </c>
      <c r="B141" s="52" t="n">
        <f aca="false">'Income Statement'!D33</f>
        <v>493.63</v>
      </c>
      <c r="C141" s="49" t="s">
        <v>722</v>
      </c>
    </row>
    <row r="142" customFormat="false" ht="15" hidden="false" customHeight="false" outlineLevel="0" collapsed="false">
      <c r="A142" s="47" t="s">
        <v>723</v>
      </c>
      <c r="B142" s="52" t="n">
        <f aca="false">'Income Statement'!E33</f>
        <v>4768.99</v>
      </c>
      <c r="C142" s="49" t="s">
        <v>724</v>
      </c>
    </row>
    <row r="143" customFormat="false" ht="15" hidden="false" customHeight="false" outlineLevel="0" collapsed="false">
      <c r="A143" s="47" t="s">
        <v>725</v>
      </c>
      <c r="B143" s="52" t="n">
        <f aca="false">'Income Statement'!F33</f>
        <v>5819.62</v>
      </c>
      <c r="C143" s="49" t="s">
        <v>726</v>
      </c>
    </row>
    <row r="144" customFormat="false" ht="15" hidden="false" customHeight="false" outlineLevel="0" collapsed="false">
      <c r="A144" s="47" t="s">
        <v>727</v>
      </c>
      <c r="B144" s="52" t="n">
        <f aca="false">'Income Statement'!C35</f>
        <v>12443</v>
      </c>
      <c r="C144" s="49" t="s">
        <v>728</v>
      </c>
    </row>
    <row r="145" customFormat="false" ht="15" hidden="false" customHeight="false" outlineLevel="0" collapsed="false">
      <c r="A145" s="47" t="s">
        <v>729</v>
      </c>
      <c r="B145" s="52" t="n">
        <f aca="false">'Income Statement'!D35</f>
        <v>2356.37</v>
      </c>
      <c r="C145" s="49" t="s">
        <v>730</v>
      </c>
    </row>
    <row r="146" customFormat="false" ht="15" hidden="false" customHeight="false" outlineLevel="0" collapsed="false">
      <c r="A146" s="47" t="s">
        <v>731</v>
      </c>
      <c r="B146" s="52" t="n">
        <f aca="false">'Income Statement'!E35</f>
        <v>-3568.99</v>
      </c>
      <c r="C146" s="49" t="s">
        <v>732</v>
      </c>
    </row>
    <row r="147" customFormat="false" ht="15" hidden="false" customHeight="false" outlineLevel="0" collapsed="false">
      <c r="A147" s="47" t="s">
        <v>733</v>
      </c>
      <c r="B147" s="52" t="n">
        <f aca="false">'Income Statement'!F35</f>
        <v>11230.38</v>
      </c>
      <c r="C147" s="49" t="s">
        <v>734</v>
      </c>
    </row>
    <row r="148" customFormat="false" ht="15" hidden="false" customHeight="false" outlineLevel="0" collapsed="false">
      <c r="A148" s="44" t="s">
        <v>735</v>
      </c>
      <c r="B148" s="45"/>
      <c r="C148" s="46" t="s">
        <v>736</v>
      </c>
    </row>
    <row r="149" customFormat="false" ht="15" hidden="false" customHeight="false" outlineLevel="0" collapsed="false">
      <c r="A149" s="47" t="s">
        <v>737</v>
      </c>
      <c r="B149" s="52" t="n">
        <f aca="false">'Cash Flow'!C8</f>
        <v>17050</v>
      </c>
      <c r="C149" s="49" t="s">
        <v>738</v>
      </c>
    </row>
    <row r="150" customFormat="false" ht="15" hidden="false" customHeight="false" outlineLevel="0" collapsed="false">
      <c r="A150" s="47" t="s">
        <v>739</v>
      </c>
      <c r="B150" s="52" t="n">
        <f aca="false">'Cash Flow'!C9</f>
        <v>-5819.62</v>
      </c>
      <c r="C150" s="49" t="s">
        <v>740</v>
      </c>
    </row>
    <row r="151" customFormat="false" ht="15" hidden="false" customHeight="false" outlineLevel="0" collapsed="false">
      <c r="A151" s="47" t="s">
        <v>741</v>
      </c>
      <c r="B151" s="52" t="n">
        <f aca="false">'Cash Flow'!C10</f>
        <v>11230.38</v>
      </c>
      <c r="C151" s="49" t="s">
        <v>742</v>
      </c>
    </row>
    <row r="152" customFormat="false" ht="15" hidden="false" customHeight="false" outlineLevel="0" collapsed="false">
      <c r="A152" s="47" t="s">
        <v>743</v>
      </c>
      <c r="B152" s="52" t="n">
        <f aca="false">'Cash Flow'!C13</f>
        <v>0</v>
      </c>
      <c r="C152" s="49" t="s">
        <v>744</v>
      </c>
    </row>
    <row r="153" customFormat="false" ht="15" hidden="false" customHeight="false" outlineLevel="0" collapsed="false">
      <c r="A153" s="47" t="s">
        <v>745</v>
      </c>
      <c r="B153" s="52" t="n">
        <f aca="false">'Cash Flow'!C14</f>
        <v>0</v>
      </c>
      <c r="C153" s="49" t="s">
        <v>746</v>
      </c>
    </row>
    <row r="154" customFormat="false" ht="15" hidden="false" customHeight="false" outlineLevel="0" collapsed="false">
      <c r="A154" s="47" t="s">
        <v>747</v>
      </c>
      <c r="B154" s="52" t="n">
        <f aca="false">'Cash Flow'!C15</f>
        <v>0</v>
      </c>
      <c r="C154" s="49" t="s">
        <v>748</v>
      </c>
    </row>
    <row r="155" customFormat="false" ht="15" hidden="false" customHeight="false" outlineLevel="0" collapsed="false">
      <c r="A155" s="47" t="s">
        <v>749</v>
      </c>
      <c r="B155" s="52" t="n">
        <f aca="false">'Cash Flow'!C18</f>
        <v>0</v>
      </c>
      <c r="C155" s="49" t="s">
        <v>750</v>
      </c>
    </row>
    <row r="156" customFormat="false" ht="15" hidden="false" customHeight="false" outlineLevel="0" collapsed="false">
      <c r="A156" s="47" t="s">
        <v>751</v>
      </c>
      <c r="B156" s="52" t="n">
        <f aca="false">'Cash Flow'!C19</f>
        <v>0</v>
      </c>
      <c r="C156" s="49" t="s">
        <v>752</v>
      </c>
    </row>
    <row r="157" customFormat="false" ht="15" hidden="false" customHeight="false" outlineLevel="0" collapsed="false">
      <c r="A157" s="47" t="s">
        <v>753</v>
      </c>
      <c r="B157" s="52" t="n">
        <f aca="false">'Cash Flow'!C20</f>
        <v>0</v>
      </c>
      <c r="C157" s="49" t="s">
        <v>754</v>
      </c>
    </row>
    <row r="158" customFormat="false" ht="15" hidden="false" customHeight="false" outlineLevel="0" collapsed="false">
      <c r="A158" s="47" t="s">
        <v>755</v>
      </c>
      <c r="B158" s="52" t="n">
        <f aca="false">'Cash Flow'!C23</f>
        <v>11230.38</v>
      </c>
      <c r="C158" s="49" t="s">
        <v>756</v>
      </c>
    </row>
    <row r="159" customFormat="false" ht="15" hidden="false" customHeight="false" outlineLevel="0" collapsed="false">
      <c r="A159" s="44" t="s">
        <v>757</v>
      </c>
      <c r="B159" s="45"/>
      <c r="C159" s="46" t="s">
        <v>758</v>
      </c>
    </row>
    <row r="160" customFormat="false" ht="15" hidden="false" customHeight="false" outlineLevel="0" collapsed="false">
      <c r="A160" s="47" t="s">
        <v>759</v>
      </c>
      <c r="B160" s="52" t="n">
        <f aca="false">'Balance Sheet'!C8</f>
        <v>0</v>
      </c>
      <c r="C160" s="49" t="s">
        <v>760</v>
      </c>
    </row>
    <row r="161" customFormat="false" ht="15" hidden="false" customHeight="false" outlineLevel="0" collapsed="false">
      <c r="A161" s="47" t="s">
        <v>761</v>
      </c>
      <c r="B161" s="52" t="n">
        <f aca="false">'Balance Sheet'!D8</f>
        <v>0</v>
      </c>
      <c r="C161" s="49" t="s">
        <v>762</v>
      </c>
    </row>
    <row r="162" customFormat="false" ht="15" hidden="false" customHeight="false" outlineLevel="0" collapsed="false">
      <c r="A162" s="47" t="s">
        <v>763</v>
      </c>
      <c r="B162" s="52" t="n">
        <f aca="false">'Balance Sheet'!E8</f>
        <v>47400</v>
      </c>
      <c r="C162" s="49" t="s">
        <v>764</v>
      </c>
    </row>
    <row r="163" customFormat="false" ht="15" hidden="false" customHeight="false" outlineLevel="0" collapsed="false">
      <c r="A163" s="47" t="s">
        <v>765</v>
      </c>
      <c r="B163" s="52" t="n">
        <f aca="false">'Balance Sheet'!F8</f>
        <v>47400</v>
      </c>
      <c r="C163" s="49" t="s">
        <v>766</v>
      </c>
    </row>
    <row r="164" customFormat="false" ht="15" hidden="false" customHeight="false" outlineLevel="0" collapsed="false">
      <c r="A164" s="47" t="s">
        <v>767</v>
      </c>
      <c r="B164" s="52" t="n">
        <f aca="false">'Balance Sheet'!C9</f>
        <v>87500</v>
      </c>
      <c r="C164" s="49" t="s">
        <v>768</v>
      </c>
    </row>
    <row r="165" customFormat="false" ht="15" hidden="false" customHeight="false" outlineLevel="0" collapsed="false">
      <c r="A165" s="47" t="s">
        <v>769</v>
      </c>
      <c r="B165" s="52" t="n">
        <f aca="false">'Balance Sheet'!D9</f>
        <v>0</v>
      </c>
      <c r="C165" s="49" t="s">
        <v>770</v>
      </c>
    </row>
    <row r="166" customFormat="false" ht="15" hidden="false" customHeight="false" outlineLevel="0" collapsed="false">
      <c r="A166" s="47" t="s">
        <v>771</v>
      </c>
      <c r="B166" s="52" t="n">
        <f aca="false">'Balance Sheet'!E9</f>
        <v>0</v>
      </c>
      <c r="C166" s="49" t="s">
        <v>772</v>
      </c>
    </row>
    <row r="167" customFormat="false" ht="15" hidden="false" customHeight="false" outlineLevel="0" collapsed="false">
      <c r="A167" s="47" t="s">
        <v>773</v>
      </c>
      <c r="B167" s="52" t="n">
        <f aca="false">'Balance Sheet'!F9</f>
        <v>87500</v>
      </c>
      <c r="C167" s="49" t="s">
        <v>774</v>
      </c>
    </row>
    <row r="168" customFormat="false" ht="15" hidden="false" customHeight="false" outlineLevel="0" collapsed="false">
      <c r="A168" s="47" t="s">
        <v>775</v>
      </c>
      <c r="B168" s="52" t="n">
        <f aca="false">'Balance Sheet'!C10</f>
        <v>215000</v>
      </c>
      <c r="C168" s="49" t="s">
        <v>776</v>
      </c>
    </row>
    <row r="169" customFormat="false" ht="15" hidden="false" customHeight="false" outlineLevel="0" collapsed="false">
      <c r="A169" s="47" t="s">
        <v>777</v>
      </c>
      <c r="B169" s="52" t="n">
        <f aca="false">'Balance Sheet'!D10</f>
        <v>28400</v>
      </c>
      <c r="C169" s="49" t="s">
        <v>778</v>
      </c>
    </row>
    <row r="170" customFormat="false" ht="15" hidden="false" customHeight="false" outlineLevel="0" collapsed="false">
      <c r="A170" s="47" t="s">
        <v>779</v>
      </c>
      <c r="B170" s="52" t="n">
        <f aca="false">'Balance Sheet'!E10</f>
        <v>0</v>
      </c>
      <c r="C170" s="49" t="s">
        <v>780</v>
      </c>
    </row>
    <row r="171" customFormat="false" ht="15" hidden="false" customHeight="false" outlineLevel="0" collapsed="false">
      <c r="A171" s="47" t="s">
        <v>781</v>
      </c>
      <c r="B171" s="52" t="n">
        <f aca="false">'Balance Sheet'!F10</f>
        <v>243400</v>
      </c>
      <c r="C171" s="49" t="s">
        <v>782</v>
      </c>
    </row>
    <row r="172" customFormat="false" ht="15" hidden="false" customHeight="false" outlineLevel="0" collapsed="false">
      <c r="A172" s="47" t="s">
        <v>783</v>
      </c>
      <c r="B172" s="52" t="n">
        <f aca="false">'Balance Sheet'!C11</f>
        <v>0</v>
      </c>
      <c r="C172" s="49" t="s">
        <v>784</v>
      </c>
    </row>
    <row r="173" customFormat="false" ht="15" hidden="false" customHeight="false" outlineLevel="0" collapsed="false">
      <c r="A173" s="47" t="s">
        <v>785</v>
      </c>
      <c r="B173" s="52" t="n">
        <f aca="false">'Balance Sheet'!D11</f>
        <v>0</v>
      </c>
      <c r="C173" s="49" t="s">
        <v>786</v>
      </c>
    </row>
    <row r="174" customFormat="false" ht="15" hidden="false" customHeight="false" outlineLevel="0" collapsed="false">
      <c r="A174" s="47" t="s">
        <v>787</v>
      </c>
      <c r="B174" s="52" t="n">
        <f aca="false">'Balance Sheet'!E11</f>
        <v>525000</v>
      </c>
      <c r="C174" s="49" t="s">
        <v>788</v>
      </c>
    </row>
    <row r="175" customFormat="false" ht="15" hidden="false" customHeight="false" outlineLevel="0" collapsed="false">
      <c r="A175" s="47" t="s">
        <v>789</v>
      </c>
      <c r="B175" s="52" t="n">
        <f aca="false">'Balance Sheet'!F11</f>
        <v>525000</v>
      </c>
      <c r="C175" s="49" t="s">
        <v>790</v>
      </c>
    </row>
    <row r="176" customFormat="false" ht="15" hidden="false" customHeight="false" outlineLevel="0" collapsed="false">
      <c r="A176" s="47" t="s">
        <v>791</v>
      </c>
      <c r="B176" s="52" t="n">
        <f aca="false">'Balance Sheet'!C12</f>
        <v>0</v>
      </c>
      <c r="C176" s="49" t="s">
        <v>792</v>
      </c>
    </row>
    <row r="177" customFormat="false" ht="15" hidden="false" customHeight="false" outlineLevel="0" collapsed="false">
      <c r="A177" s="47" t="s">
        <v>793</v>
      </c>
      <c r="B177" s="52" t="n">
        <f aca="false">'Balance Sheet'!D12</f>
        <v>0</v>
      </c>
      <c r="C177" s="49" t="s">
        <v>794</v>
      </c>
    </row>
    <row r="178" customFormat="false" ht="15" hidden="false" customHeight="false" outlineLevel="0" collapsed="false">
      <c r="A178" s="47" t="s">
        <v>795</v>
      </c>
      <c r="B178" s="52" t="n">
        <f aca="false">'Balance Sheet'!E12</f>
        <v>32000</v>
      </c>
      <c r="C178" s="49" t="s">
        <v>796</v>
      </c>
    </row>
    <row r="179" customFormat="false" ht="15" hidden="false" customHeight="false" outlineLevel="0" collapsed="false">
      <c r="A179" s="47" t="s">
        <v>797</v>
      </c>
      <c r="B179" s="52" t="n">
        <f aca="false">'Balance Sheet'!F12</f>
        <v>32000</v>
      </c>
      <c r="C179" s="49" t="s">
        <v>798</v>
      </c>
    </row>
    <row r="180" customFormat="false" ht="15" hidden="false" customHeight="false" outlineLevel="0" collapsed="false">
      <c r="A180" s="47" t="s">
        <v>799</v>
      </c>
      <c r="B180" s="52" t="n">
        <f aca="false">'Balance Sheet'!C13</f>
        <v>300000</v>
      </c>
      <c r="C180" s="49" t="s">
        <v>800</v>
      </c>
    </row>
    <row r="181" customFormat="false" ht="15" hidden="false" customHeight="false" outlineLevel="0" collapsed="false">
      <c r="A181" s="47" t="s">
        <v>801</v>
      </c>
      <c r="B181" s="52" t="n">
        <f aca="false">'Balance Sheet'!D13</f>
        <v>0</v>
      </c>
      <c r="C181" s="49" t="s">
        <v>802</v>
      </c>
    </row>
    <row r="182" customFormat="false" ht="15" hidden="false" customHeight="false" outlineLevel="0" collapsed="false">
      <c r="A182" s="47" t="s">
        <v>803</v>
      </c>
      <c r="B182" s="52" t="n">
        <f aca="false">'Balance Sheet'!E13</f>
        <v>0</v>
      </c>
      <c r="C182" s="49" t="s">
        <v>804</v>
      </c>
    </row>
    <row r="183" customFormat="false" ht="15" hidden="false" customHeight="false" outlineLevel="0" collapsed="false">
      <c r="A183" s="47" t="s">
        <v>805</v>
      </c>
      <c r="B183" s="52" t="n">
        <f aca="false">'Balance Sheet'!F13</f>
        <v>300000</v>
      </c>
      <c r="C183" s="49" t="s">
        <v>806</v>
      </c>
    </row>
    <row r="184" customFormat="false" ht="15" hidden="false" customHeight="false" outlineLevel="0" collapsed="false">
      <c r="A184" s="47" t="s">
        <v>807</v>
      </c>
      <c r="B184" s="52" t="n">
        <f aca="false">'Balance Sheet'!C14</f>
        <v>0</v>
      </c>
      <c r="C184" s="49" t="s">
        <v>808</v>
      </c>
    </row>
    <row r="185" customFormat="false" ht="15" hidden="false" customHeight="false" outlineLevel="0" collapsed="false">
      <c r="A185" s="47" t="s">
        <v>809</v>
      </c>
      <c r="B185" s="52" t="n">
        <f aca="false">'Balance Sheet'!D14</f>
        <v>0</v>
      </c>
      <c r="C185" s="49" t="s">
        <v>810</v>
      </c>
    </row>
    <row r="186" customFormat="false" ht="15" hidden="false" customHeight="false" outlineLevel="0" collapsed="false">
      <c r="A186" s="47" t="s">
        <v>811</v>
      </c>
      <c r="B186" s="52" t="n">
        <f aca="false">'Balance Sheet'!E14</f>
        <v>0</v>
      </c>
      <c r="C186" s="49" t="s">
        <v>812</v>
      </c>
    </row>
    <row r="187" customFormat="false" ht="15" hidden="false" customHeight="false" outlineLevel="0" collapsed="false">
      <c r="A187" s="47" t="s">
        <v>813</v>
      </c>
      <c r="B187" s="52" t="n">
        <f aca="false">'Balance Sheet'!F14</f>
        <v>0</v>
      </c>
      <c r="C187" s="49" t="s">
        <v>814</v>
      </c>
    </row>
    <row r="188" customFormat="false" ht="15" hidden="false" customHeight="false" outlineLevel="0" collapsed="false">
      <c r="A188" s="47" t="s">
        <v>815</v>
      </c>
      <c r="B188" s="52" t="n">
        <f aca="false">'Balance Sheet'!C15</f>
        <v>602500</v>
      </c>
      <c r="C188" s="49" t="s">
        <v>816</v>
      </c>
    </row>
    <row r="189" customFormat="false" ht="15" hidden="false" customHeight="false" outlineLevel="0" collapsed="false">
      <c r="A189" s="47" t="s">
        <v>817</v>
      </c>
      <c r="B189" s="52" t="n">
        <f aca="false">'Balance Sheet'!D15</f>
        <v>28400</v>
      </c>
      <c r="C189" s="49" t="s">
        <v>818</v>
      </c>
    </row>
    <row r="190" customFormat="false" ht="15" hidden="false" customHeight="false" outlineLevel="0" collapsed="false">
      <c r="A190" s="47" t="s">
        <v>819</v>
      </c>
      <c r="B190" s="52" t="n">
        <f aca="false">'Balance Sheet'!E15</f>
        <v>604400</v>
      </c>
      <c r="C190" s="49" t="s">
        <v>820</v>
      </c>
    </row>
    <row r="191" customFormat="false" ht="15" hidden="false" customHeight="false" outlineLevel="0" collapsed="false">
      <c r="A191" s="47" t="s">
        <v>821</v>
      </c>
      <c r="B191" s="52" t="n">
        <f aca="false">'Balance Sheet'!F15</f>
        <v>1235300</v>
      </c>
      <c r="C191" s="49" t="s">
        <v>822</v>
      </c>
    </row>
    <row r="192" customFormat="false" ht="15" hidden="false" customHeight="false" outlineLevel="0" collapsed="false">
      <c r="A192" s="47" t="s">
        <v>823</v>
      </c>
      <c r="B192" s="52" t="n">
        <f aca="false">'Balance Sheet'!C18</f>
        <v>0</v>
      </c>
      <c r="C192" s="49" t="s">
        <v>824</v>
      </c>
    </row>
    <row r="193" customFormat="false" ht="15" hidden="false" customHeight="false" outlineLevel="0" collapsed="false">
      <c r="A193" s="47" t="s">
        <v>825</v>
      </c>
      <c r="B193" s="52" t="n">
        <f aca="false">'Balance Sheet'!D18</f>
        <v>0</v>
      </c>
      <c r="C193" s="49" t="s">
        <v>826</v>
      </c>
    </row>
    <row r="194" customFormat="false" ht="15" hidden="false" customHeight="false" outlineLevel="0" collapsed="false">
      <c r="A194" s="47" t="s">
        <v>827</v>
      </c>
      <c r="B194" s="52" t="n">
        <f aca="false">'Balance Sheet'!E18</f>
        <v>2400</v>
      </c>
      <c r="C194" s="49" t="s">
        <v>828</v>
      </c>
    </row>
    <row r="195" customFormat="false" ht="15" hidden="false" customHeight="false" outlineLevel="0" collapsed="false">
      <c r="A195" s="47" t="s">
        <v>829</v>
      </c>
      <c r="B195" s="52" t="n">
        <f aca="false">'Balance Sheet'!F18</f>
        <v>2400</v>
      </c>
      <c r="C195" s="49" t="s">
        <v>830</v>
      </c>
    </row>
    <row r="196" customFormat="false" ht="15" hidden="false" customHeight="false" outlineLevel="0" collapsed="false">
      <c r="A196" s="47" t="s">
        <v>831</v>
      </c>
      <c r="B196" s="52" t="n">
        <f aca="false">'Balance Sheet'!C19</f>
        <v>0</v>
      </c>
      <c r="C196" s="49" t="s">
        <v>832</v>
      </c>
    </row>
    <row r="197" customFormat="false" ht="15" hidden="false" customHeight="false" outlineLevel="0" collapsed="false">
      <c r="A197" s="47" t="s">
        <v>833</v>
      </c>
      <c r="B197" s="52" t="n">
        <f aca="false">'Balance Sheet'!D19</f>
        <v>0</v>
      </c>
      <c r="C197" s="49" t="s">
        <v>834</v>
      </c>
    </row>
    <row r="198" customFormat="false" ht="15" hidden="false" customHeight="false" outlineLevel="0" collapsed="false">
      <c r="A198" s="47" t="s">
        <v>835</v>
      </c>
      <c r="B198" s="52" t="n">
        <f aca="false">'Balance Sheet'!E19</f>
        <v>0</v>
      </c>
      <c r="C198" s="49" t="s">
        <v>836</v>
      </c>
    </row>
    <row r="199" customFormat="false" ht="15" hidden="false" customHeight="false" outlineLevel="0" collapsed="false">
      <c r="A199" s="47" t="s">
        <v>837</v>
      </c>
      <c r="B199" s="52" t="n">
        <f aca="false">'Balance Sheet'!F19</f>
        <v>0</v>
      </c>
      <c r="C199" s="49" t="s">
        <v>838</v>
      </c>
    </row>
    <row r="200" customFormat="false" ht="15" hidden="false" customHeight="false" outlineLevel="0" collapsed="false">
      <c r="A200" s="47" t="s">
        <v>839</v>
      </c>
      <c r="B200" s="52" t="n">
        <f aca="false">'Balance Sheet'!C20</f>
        <v>0</v>
      </c>
      <c r="C200" s="49" t="s">
        <v>840</v>
      </c>
    </row>
    <row r="201" customFormat="false" ht="15" hidden="false" customHeight="false" outlineLevel="0" collapsed="false">
      <c r="A201" s="47" t="s">
        <v>841</v>
      </c>
      <c r="B201" s="52" t="n">
        <f aca="false">'Balance Sheet'!D20</f>
        <v>0</v>
      </c>
      <c r="C201" s="49" t="s">
        <v>842</v>
      </c>
    </row>
    <row r="202" customFormat="false" ht="15" hidden="false" customHeight="false" outlineLevel="0" collapsed="false">
      <c r="A202" s="47" t="s">
        <v>843</v>
      </c>
      <c r="B202" s="52" t="n">
        <f aca="false">'Balance Sheet'!E20</f>
        <v>21500</v>
      </c>
      <c r="C202" s="49" t="s">
        <v>844</v>
      </c>
    </row>
    <row r="203" customFormat="false" ht="15" hidden="false" customHeight="false" outlineLevel="0" collapsed="false">
      <c r="A203" s="47" t="s">
        <v>845</v>
      </c>
      <c r="B203" s="52" t="n">
        <f aca="false">'Balance Sheet'!F20</f>
        <v>21500</v>
      </c>
      <c r="C203" s="49" t="s">
        <v>846</v>
      </c>
    </row>
    <row r="204" customFormat="false" ht="15" hidden="false" customHeight="false" outlineLevel="0" collapsed="false">
      <c r="A204" s="47" t="s">
        <v>847</v>
      </c>
      <c r="B204" s="52" t="n">
        <f aca="false">'Balance Sheet'!C21</f>
        <v>0</v>
      </c>
      <c r="C204" s="49" t="s">
        <v>848</v>
      </c>
    </row>
    <row r="205" customFormat="false" ht="15" hidden="false" customHeight="false" outlineLevel="0" collapsed="false">
      <c r="A205" s="47" t="s">
        <v>849</v>
      </c>
      <c r="B205" s="52" t="n">
        <f aca="false">'Balance Sheet'!D21</f>
        <v>0</v>
      </c>
      <c r="C205" s="49" t="s">
        <v>850</v>
      </c>
    </row>
    <row r="206" customFormat="false" ht="15" hidden="false" customHeight="false" outlineLevel="0" collapsed="false">
      <c r="A206" s="47" t="s">
        <v>851</v>
      </c>
      <c r="B206" s="52" t="n">
        <f aca="false">'Balance Sheet'!E21</f>
        <v>0</v>
      </c>
      <c r="C206" s="49" t="s">
        <v>852</v>
      </c>
    </row>
    <row r="207" customFormat="false" ht="15" hidden="false" customHeight="false" outlineLevel="0" collapsed="false">
      <c r="A207" s="47" t="s">
        <v>853</v>
      </c>
      <c r="B207" s="52" t="n">
        <f aca="false">'Balance Sheet'!F21</f>
        <v>0</v>
      </c>
      <c r="C207" s="49" t="s">
        <v>854</v>
      </c>
    </row>
    <row r="208" customFormat="false" ht="15" hidden="false" customHeight="false" outlineLevel="0" collapsed="false">
      <c r="A208" s="47" t="s">
        <v>855</v>
      </c>
      <c r="B208" s="52" t="n">
        <f aca="false">'Balance Sheet'!C22</f>
        <v>0</v>
      </c>
      <c r="C208" s="49" t="s">
        <v>856</v>
      </c>
    </row>
    <row r="209" customFormat="false" ht="15" hidden="false" customHeight="false" outlineLevel="0" collapsed="false">
      <c r="A209" s="47" t="s">
        <v>857</v>
      </c>
      <c r="B209" s="52" t="n">
        <f aca="false">'Balance Sheet'!D22</f>
        <v>0</v>
      </c>
      <c r="C209" s="49" t="s">
        <v>858</v>
      </c>
    </row>
    <row r="210" customFormat="false" ht="15" hidden="false" customHeight="false" outlineLevel="0" collapsed="false">
      <c r="A210" s="47" t="s">
        <v>859</v>
      </c>
      <c r="B210" s="52" t="n">
        <f aca="false">'Balance Sheet'!E22</f>
        <v>318500</v>
      </c>
      <c r="C210" s="49" t="s">
        <v>860</v>
      </c>
    </row>
    <row r="211" customFormat="false" ht="15" hidden="false" customHeight="false" outlineLevel="0" collapsed="false">
      <c r="A211" s="47" t="s">
        <v>861</v>
      </c>
      <c r="B211" s="52" t="n">
        <f aca="false">'Balance Sheet'!F22</f>
        <v>318500</v>
      </c>
      <c r="C211" s="49" t="s">
        <v>862</v>
      </c>
    </row>
    <row r="212" customFormat="false" ht="15" hidden="false" customHeight="false" outlineLevel="0" collapsed="false">
      <c r="A212" s="47" t="s">
        <v>863</v>
      </c>
      <c r="B212" s="52" t="n">
        <f aca="false">'Balance Sheet'!C23</f>
        <v>0</v>
      </c>
      <c r="C212" s="49" t="s">
        <v>864</v>
      </c>
    </row>
    <row r="213" customFormat="false" ht="15" hidden="false" customHeight="false" outlineLevel="0" collapsed="false">
      <c r="A213" s="47" t="s">
        <v>865</v>
      </c>
      <c r="B213" s="52" t="n">
        <f aca="false">'Balance Sheet'!D23</f>
        <v>0</v>
      </c>
      <c r="C213" s="49" t="s">
        <v>866</v>
      </c>
    </row>
    <row r="214" customFormat="false" ht="15" hidden="false" customHeight="false" outlineLevel="0" collapsed="false">
      <c r="A214" s="47" t="s">
        <v>867</v>
      </c>
      <c r="B214" s="52" t="n">
        <f aca="false">'Balance Sheet'!E23</f>
        <v>0</v>
      </c>
      <c r="C214" s="49" t="s">
        <v>868</v>
      </c>
    </row>
    <row r="215" customFormat="false" ht="15" hidden="false" customHeight="false" outlineLevel="0" collapsed="false">
      <c r="A215" s="47" t="s">
        <v>869</v>
      </c>
      <c r="B215" s="52" t="n">
        <f aca="false">'Balance Sheet'!F23</f>
        <v>0</v>
      </c>
      <c r="C215" s="49" t="s">
        <v>870</v>
      </c>
    </row>
    <row r="216" customFormat="false" ht="15" hidden="false" customHeight="false" outlineLevel="0" collapsed="false">
      <c r="A216" s="47" t="s">
        <v>871</v>
      </c>
      <c r="B216" s="52" t="n">
        <f aca="false">'Balance Sheet'!C24</f>
        <v>0</v>
      </c>
      <c r="C216" s="49" t="s">
        <v>872</v>
      </c>
    </row>
    <row r="217" customFormat="false" ht="15" hidden="false" customHeight="false" outlineLevel="0" collapsed="false">
      <c r="A217" s="47" t="s">
        <v>873</v>
      </c>
      <c r="B217" s="52" t="n">
        <f aca="false">'Balance Sheet'!D24</f>
        <v>0</v>
      </c>
      <c r="C217" s="49" t="s">
        <v>874</v>
      </c>
    </row>
    <row r="218" customFormat="false" ht="15" hidden="false" customHeight="false" outlineLevel="0" collapsed="false">
      <c r="A218" s="47" t="s">
        <v>875</v>
      </c>
      <c r="B218" s="52" t="n">
        <f aca="false">'Balance Sheet'!E24</f>
        <v>0</v>
      </c>
      <c r="C218" s="49" t="s">
        <v>876</v>
      </c>
    </row>
    <row r="219" customFormat="false" ht="15" hidden="false" customHeight="false" outlineLevel="0" collapsed="false">
      <c r="A219" s="47" t="s">
        <v>877</v>
      </c>
      <c r="B219" s="52" t="n">
        <f aca="false">'Balance Sheet'!F24</f>
        <v>0</v>
      </c>
      <c r="C219" s="49" t="s">
        <v>878</v>
      </c>
    </row>
    <row r="220" customFormat="false" ht="15" hidden="false" customHeight="false" outlineLevel="0" collapsed="false">
      <c r="A220" s="47" t="s">
        <v>879</v>
      </c>
      <c r="B220" s="52" t="n">
        <f aca="false">'Balance Sheet'!C25</f>
        <v>0</v>
      </c>
      <c r="C220" s="49" t="s">
        <v>880</v>
      </c>
    </row>
    <row r="221" customFormat="false" ht="15" hidden="false" customHeight="false" outlineLevel="0" collapsed="false">
      <c r="A221" s="47" t="s">
        <v>881</v>
      </c>
      <c r="B221" s="52" t="n">
        <f aca="false">'Balance Sheet'!D25</f>
        <v>0</v>
      </c>
      <c r="C221" s="49" t="s">
        <v>882</v>
      </c>
    </row>
    <row r="222" customFormat="false" ht="15" hidden="false" customHeight="false" outlineLevel="0" collapsed="false">
      <c r="A222" s="47" t="s">
        <v>883</v>
      </c>
      <c r="B222" s="52" t="n">
        <f aca="false">'Balance Sheet'!E25</f>
        <v>342400</v>
      </c>
      <c r="C222" s="49" t="s">
        <v>884</v>
      </c>
    </row>
    <row r="223" customFormat="false" ht="15" hidden="false" customHeight="false" outlineLevel="0" collapsed="false">
      <c r="A223" s="47" t="s">
        <v>885</v>
      </c>
      <c r="B223" s="52" t="n">
        <f aca="false">'Balance Sheet'!F25</f>
        <v>342400</v>
      </c>
      <c r="C223" s="49" t="s">
        <v>886</v>
      </c>
    </row>
    <row r="224" customFormat="false" ht="15" hidden="false" customHeight="false" outlineLevel="0" collapsed="false">
      <c r="A224" s="47" t="s">
        <v>887</v>
      </c>
      <c r="B224" s="52" t="n">
        <f aca="false">'Balance Sheet'!C28</f>
        <v>602500</v>
      </c>
      <c r="C224" s="49" t="s">
        <v>888</v>
      </c>
    </row>
    <row r="225" customFormat="false" ht="15" hidden="false" customHeight="false" outlineLevel="0" collapsed="false">
      <c r="A225" s="47" t="s">
        <v>889</v>
      </c>
      <c r="B225" s="52" t="n">
        <f aca="false">'Balance Sheet'!D28</f>
        <v>28400</v>
      </c>
      <c r="C225" s="49" t="s">
        <v>890</v>
      </c>
    </row>
    <row r="226" customFormat="false" ht="15" hidden="false" customHeight="false" outlineLevel="0" collapsed="false">
      <c r="A226" s="47" t="s">
        <v>891</v>
      </c>
      <c r="B226" s="52" t="n">
        <f aca="false">'Balance Sheet'!E28</f>
        <v>262000</v>
      </c>
      <c r="C226" s="49" t="s">
        <v>892</v>
      </c>
    </row>
    <row r="227" customFormat="false" ht="15" hidden="false" customHeight="false" outlineLevel="0" collapsed="false">
      <c r="A227" s="47" t="s">
        <v>893</v>
      </c>
      <c r="B227" s="52" t="n">
        <f aca="false">'Balance Sheet'!F28</f>
        <v>892900</v>
      </c>
      <c r="C227" s="49" t="s">
        <v>894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2026-04-28T03:02:00Z</dcterms:created>
  <dc:creator>openpyxl</dc:creator>
  <dc:description/>
  <dc:language>en-US</dc:language>
  <cp:lastModifiedBy/>
  <dcterms:modified xsi:type="dcterms:W3CDTF">2026-04-28T20:44:22Z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